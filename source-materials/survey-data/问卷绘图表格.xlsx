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emz" ContentType="image/x-emz"/>
  <Default Extension="wmz" ContentType="image/x-wmz"/>
  <Default Extension="jpeg" ContentType="image/jpeg"/>
  <Default Extension="png" ContentType="image/png"/>
  <Default Extension="gif" ContentType="image/gif"/>
  <Default Extension="tiff" ContentType="image/tiff"/>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16.xml" ContentType="application/vnd.ms-office.chartcolorstyle+xml"/>
  <Override PartName="/xl/charts/colors17.xml" ContentType="application/vnd.ms-office.chartcolorstyle+xml"/>
  <Override PartName="/xl/charts/colors18.xml" ContentType="application/vnd.ms-office.chartcolorstyle+xml"/>
  <Override PartName="/xl/charts/colors19.xml" ContentType="application/vnd.ms-office.chartcolorstyle+xml"/>
  <Override PartName="/xl/charts/colors2.xml" ContentType="application/vnd.ms-office.chartcolorstyle+xml"/>
  <Override PartName="/xl/charts/colors20.xml" ContentType="application/vnd.ms-office.chartcolorstyle+xml"/>
  <Override PartName="/xl/charts/colors21.xml" ContentType="application/vnd.ms-office.chartcolorstyle+xml"/>
  <Override PartName="/xl/charts/colors22.xml" ContentType="application/vnd.ms-office.chartcolorstyle+xml"/>
  <Override PartName="/xl/charts/colors23.xml" ContentType="application/vnd.ms-office.chartcolorstyle+xml"/>
  <Override PartName="/xl/charts/colors24.xml" ContentType="application/vnd.ms-office.chartcolorstyle+xml"/>
  <Override PartName="/xl/charts/colors25.xml" ContentType="application/vnd.ms-office.chartcolorstyle+xml"/>
  <Override PartName="/xl/charts/colors26.xml" ContentType="application/vnd.ms-office.chartcolorstyle+xml"/>
  <Override PartName="/xl/charts/colors27.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16.xml" ContentType="application/vnd.ms-office.chartstyle+xml"/>
  <Override PartName="/xl/charts/style17.xml" ContentType="application/vnd.ms-office.chartstyle+xml"/>
  <Override PartName="/xl/charts/style18.xml" ContentType="application/vnd.ms-office.chartstyle+xml"/>
  <Override PartName="/xl/charts/style19.xml" ContentType="application/vnd.ms-office.chartstyle+xml"/>
  <Override PartName="/xl/charts/style2.xml" ContentType="application/vnd.ms-office.chartstyle+xml"/>
  <Override PartName="/xl/charts/style20.xml" ContentType="application/vnd.ms-office.chartstyle+xml"/>
  <Override PartName="/xl/charts/style21.xml" ContentType="application/vnd.ms-office.chartstyle+xml"/>
  <Override PartName="/xl/charts/style22.xml" ContentType="application/vnd.ms-office.chartstyle+xml"/>
  <Override PartName="/xl/charts/style23.xml" ContentType="application/vnd.ms-office.chartstyle+xml"/>
  <Override PartName="/xl/charts/style24.xml" ContentType="application/vnd.ms-office.chartstyle+xml"/>
  <Override PartName="/xl/charts/style25.xml" ContentType="application/vnd.ms-office.chartstyle+xml"/>
  <Override PartName="/xl/charts/style26.xml" ContentType="application/vnd.ms-office.chartstyle+xml"/>
  <Override PartName="/xl/charts/style27.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10.xml" ContentType="application/vnd.openxmlformats-officedocument.themeOverride+xml"/>
  <Override PartName="/xl/theme/themeOverride11.xml" ContentType="application/vnd.openxmlformats-officedocument.themeOverride+xml"/>
  <Override PartName="/xl/theme/themeOverride12.xml" ContentType="application/vnd.openxmlformats-officedocument.themeOverride+xml"/>
  <Override PartName="/xl/theme/themeOverride13.xml" ContentType="application/vnd.openxmlformats-officedocument.themeOverride+xml"/>
  <Override PartName="/xl/theme/themeOverride14.xml" ContentType="application/vnd.openxmlformats-officedocument.themeOverride+xml"/>
  <Override PartName="/xl/theme/themeOverride15.xml" ContentType="application/vnd.openxmlformats-officedocument.themeOverride+xml"/>
  <Override PartName="/xl/theme/themeOverride16.xml" ContentType="application/vnd.openxmlformats-officedocument.themeOverride+xml"/>
  <Override PartName="/xl/theme/themeOverride17.xml" ContentType="application/vnd.openxmlformats-officedocument.themeOverride+xml"/>
  <Override PartName="/xl/theme/themeOverride18.xml" ContentType="application/vnd.openxmlformats-officedocument.themeOverride+xml"/>
  <Override PartName="/xl/theme/themeOverride19.xml" ContentType="application/vnd.openxmlformats-officedocument.themeOverride+xml"/>
  <Override PartName="/xl/theme/themeOverride2.xml" ContentType="application/vnd.openxmlformats-officedocument.themeOverride+xml"/>
  <Override PartName="/xl/theme/themeOverride20.xml" ContentType="application/vnd.openxmlformats-officedocument.themeOverride+xml"/>
  <Override PartName="/xl/theme/themeOverride21.xml" ContentType="application/vnd.openxmlformats-officedocument.themeOverride+xml"/>
  <Override PartName="/xl/theme/themeOverride22.xml" ContentType="application/vnd.openxmlformats-officedocument.themeOverride+xml"/>
  <Override PartName="/xl/theme/themeOverride23.xml" ContentType="application/vnd.openxmlformats-officedocument.themeOverride+xml"/>
  <Override PartName="/xl/theme/themeOverride24.xml" ContentType="application/vnd.openxmlformats-officedocument.themeOverride+xml"/>
  <Override PartName="/xl/theme/themeOverride25.xml" ContentType="application/vnd.openxmlformats-officedocument.themeOverride+xml"/>
  <Override PartName="/xl/theme/themeOverride26.xml" ContentType="application/vnd.openxmlformats-officedocument.themeOverride+xml"/>
  <Override PartName="/xl/theme/themeOverride27.xml" ContentType="application/vnd.openxmlformats-officedocument.themeOverride+xml"/>
  <Override PartName="/xl/theme/themeOverride3.xml" ContentType="application/vnd.openxmlformats-officedocument.themeOverride+xml"/>
  <Override PartName="/xl/theme/themeOverride4.xml" ContentType="application/vnd.openxmlformats-officedocument.themeOverride+xml"/>
  <Override PartName="/xl/theme/themeOverride5.xml" ContentType="application/vnd.openxmlformats-officedocument.themeOverride+xml"/>
  <Override PartName="/xl/theme/themeOverride6.xml" ContentType="application/vnd.openxmlformats-officedocument.themeOverride+xml"/>
  <Override PartName="/xl/theme/themeOverride7.xml" ContentType="application/vnd.openxmlformats-officedocument.themeOverride+xml"/>
  <Override PartName="/xl/theme/themeOverride8.xml" ContentType="application/vnd.openxmlformats-officedocument.themeOverride+xml"/>
  <Override PartName="/xl/theme/themeOverride9.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850" windowHeight="12080" tabRatio="864" firstSheet="1" activeTab="7"/>
  </bookViews>
  <sheets>
    <sheet name="最后反馈问卷（多）" sheetId="6" r:id="rId1"/>
    <sheet name="最后反馈问卷（多选）" sheetId="9" r:id="rId2"/>
    <sheet name="最后反馈问卷（量表）" sheetId="7" r:id="rId3"/>
    <sheet name="Sheet1" sheetId="4" r:id="rId4"/>
    <sheet name="总表单" sheetId="1" r:id="rId5"/>
    <sheet name="美术统计" sheetId="3" r:id="rId6"/>
    <sheet name="反馈绘图（多选）" sheetId="5" r:id="rId7"/>
    <sheet name="反馈绘图（量表）" sheetId="8" r:id="rId8"/>
    <sheet name="心理统计" sheetId="2" r:id="rId9"/>
    <sheet name="Sheet4" sheetId="10" r:id="rId10"/>
    <sheet name="Sheet5" sheetId="11" r:id="rId11"/>
    <sheet name="Sheet6"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<sst xmlns="http://schemas.openxmlformats.org/spreadsheetml/2006/main" count="4502" uniqueCount="139">
  <si>
    <t>参与者编号</t>
  </si>
  <si>
    <t>印象最深刻的故事章节_皮埃尔章节古堡解谜</t>
  </si>
  <si>
    <t>印象最深刻的故事章节_皮埃尔章节太空舞台</t>
  </si>
  <si>
    <t>印象最深刻的故事章节_序章雨中城市</t>
  </si>
  <si>
    <t>印象最深刻的故事章节_序章萨沙的家</t>
  </si>
  <si>
    <t>印象最深刻的故事章节_皮埃尔章节森林小路</t>
  </si>
  <si>
    <t>最吸引的协作环节_双人线索拼合</t>
  </si>
  <si>
    <t>最吸引的协作环节_古堡机关同步</t>
  </si>
  <si>
    <t>最吸引的协作环节_跨媒介联动</t>
  </si>
  <si>
    <t>最吸引的协作环节_3D叙事交互</t>
  </si>
  <si>
    <t>最吸引的协作环节_具身交互操作</t>
  </si>
  <si>
    <t>最吸引的协作环节_黑板绘画共创</t>
  </si>
  <si>
    <t>未主动体验VR_担心头晕不适</t>
  </si>
  <si>
    <t>未主动体验VR_公共场合不自在</t>
  </si>
  <si>
    <t>未主动体验VR_设备门槛高</t>
  </si>
  <si>
    <t>未主动体验VR_内容单调无聊</t>
  </si>
  <si>
    <t>未主动体验VR_空闲时间不足</t>
  </si>
  <si>
    <t>未主动体验VR_价格高无渠道</t>
  </si>
  <si>
    <t>拒绝体验XR_围观人数多</t>
  </si>
  <si>
    <t>拒绝体验XR_设备陈旧不卫生</t>
  </si>
  <si>
    <t>拒绝体验XR_环境闷热嘈杂</t>
  </si>
  <si>
    <t>拒绝体验XR_无工作人员引导</t>
  </si>
  <si>
    <t>拒绝体验XR_穿着不便</t>
  </si>
  <si>
    <t>拒绝体验XR_体验时长过长</t>
  </si>
  <si>
    <t>题非常不符合_清晰理解主线故事</t>
  </si>
  <si>
    <t>题比较不符合_故事与协作结合紧密</t>
  </si>
  <si>
    <t>题一般_一般D叙事设计有帮助</t>
  </si>
  <si>
    <t>题比较符合_非对称任务推动协作</t>
  </si>
  <si>
    <t>题非常符合_交互操作上手难度反</t>
  </si>
  <si>
    <t>题6_摇杆瞬移眩晕感反</t>
  </si>
  <si>
    <t>题7_摇杆平滑眩晕感反</t>
  </si>
  <si>
    <t>题8_右手摇杆眩晕感反</t>
  </si>
  <si>
    <t>题9_瞬间切换眩晕感反</t>
  </si>
  <si>
    <t>题非常不符合0_大范围走动眩晕感反</t>
  </si>
  <si>
    <t>题非常不符合非常不符合_被他人注视不自在</t>
  </si>
  <si>
    <t>题非常不符合比较不符合_首次进入未知环境紧张</t>
  </si>
  <si>
    <t>题非常不符合一般_担心投入表现可笑</t>
  </si>
  <si>
    <t>题非常不符合比较符合_完全沉浸愉悦旅程</t>
  </si>
  <si>
    <t>题非常不符合非常符合_摘下设备意犹未尽</t>
  </si>
  <si>
    <t>题非常不符合6_摘下设备如释重负</t>
  </si>
  <si>
    <t>题非常不符合7_购买意愿变强</t>
  </si>
  <si>
    <t>题非常不符合8_购买意愿变弱</t>
  </si>
  <si>
    <t>题非常不符合9_愿意分享体验</t>
  </si>
  <si>
    <t>非常符合</t>
  </si>
  <si>
    <t>比较符合</t>
  </si>
  <si>
    <t>比较不符合</t>
  </si>
  <si>
    <t>一般</t>
  </si>
  <si>
    <t>非常不符合</t>
  </si>
  <si>
    <t>1、我更倾向于选择该类视觉风格作为主要的场景呈现方式（写实）</t>
  </si>
  <si>
    <t>2、我更倾向于选择该类视觉风格作为主要的场景呈现方式（卡通）</t>
  </si>
  <si>
    <t>3、我更倾向于选择该类视觉风格作为主要的场景呈现方式（风格化）</t>
  </si>
  <si>
    <t>4、相比于写实模拟，我更偏好具有艺术加工感或超现实元素的场景设计</t>
  </si>
  <si>
    <t>5、场景的视觉独特性与艺术表现力比画面真实度更能吸引我长时间停留</t>
  </si>
  <si>
    <t>6、相比于宏大空旷的广场，我更偏好尺度适中、具有安全感的紧凑空间</t>
  </si>
  <si>
    <t>7、场景中存在明确的视觉遮挡或物理边界（如隔断、植被）会增强我的心理安全感</t>
  </si>
  <si>
    <t>8、我偏好具有垂直空间层次（如高低地台、错层结构）而非单一平面的场景布局</t>
  </si>
  <si>
    <t>9、我偏好低饱和度、色彩和谐的配色方案，认为其视觉干扰较低</t>
  </si>
  <si>
    <t>10、相比于高对比度的强光照明，我更偏好光影过渡柔和、具有氛围感的漫反射照明</t>
  </si>
  <si>
    <t>11、我认为场景色调随交互进程产生动态变化（如随任务进度变色）具有明确的情绪引导作用</t>
  </si>
  <si>
    <t>12、我认为场景中存在可交互的动态元素（如随风摆动的植被、粒子效果）是必要的</t>
  </si>
  <si>
    <t>13、场景中具有生活化细节的静态物件（如书籍、陈设道具）能有效缓解社交时的不自然感</t>
  </si>
  <si>
    <t>14、当我产生交互行为（如发声、操作）时，我希望场景能给予即时的视觉反馈（如波纹、光效变化）</t>
  </si>
  <si>
    <t>15、相比于高密度的装饰细节，我更偏好视觉信息简洁、交互点明确的场景设计</t>
  </si>
  <si>
    <t>16、我希望场景中的自然元素（如云朵、草木）能与用户的生理体征（如呼吸、语调）产生实时联动</t>
  </si>
  <si>
    <t>17、我认为场景应具备清晰的空间逻辑和秩序感，以便于我快速理解环境功能</t>
  </si>
  <si>
    <t>符合程度</t>
  </si>
  <si>
    <t>1、请根据您的实际情况，对以下描述的符合程度进行评价—在多人参与的讨论中（如小组作业、社团开会），我倾向于保持沉默而非主动发言。</t>
  </si>
  <si>
    <t>1、当需要向不熟悉的人寻求帮助或发起对话时，我会感到明显的心理负担。</t>
  </si>
  <si>
    <t>1、我比较在意他人在社交场合中对我言行举止的实时评价。</t>
  </si>
  <si>
    <t>1、在面对面的即时社交后，我会感到精神疲惫，需要独处来恢复精力。</t>
  </si>
  <si>
    <t>1、相比于线下深度互动，我更习惯于社交媒体那种交流方式。</t>
  </si>
  <si>
    <t>2、请根据您的实际情况，对以下描述的符合程度进行评价—在正式或陌生的社交场合，我常感到难以自然地掌控自己的肢体语言（如眼神、手势）。</t>
  </si>
  <si>
    <t>2、我觉得在他人注视下完成某项具体任务（如演示手工艺、操作设备）会影响我的发挥。</t>
  </si>
  <si>
    <t>2、在线下交流时，我容易受到环境噪音、光线或他人距离的影响而分心。</t>
  </si>
  <si>
    <t>2、尽管身处集体活动中，我仍偶尔会产生一种“局外人”的心理距离感。</t>
  </si>
  <si>
    <t>3、请根据您的实际情况，对以下描述的符合程度进行评价—我更依赖社交媒体（如朋友圈、动态）来展示自我。</t>
  </si>
  <si>
    <t>3、我发现自己在虚拟社交平台（如游戏社区、匿名频道）中表现得比现实中更开朗活跃。</t>
  </si>
  <si>
    <t>3、我倾向于在社交中使用虚拟形象或表情包，因为它们能更安全地代为传达情感。</t>
  </si>
  <si>
    <t>3、我对通过 XR 技术构建的新型社交空间持有积极的好奇心和尝试意愿。</t>
  </si>
  <si>
    <t>3、如果有一个沉浸式的虚拟空间能让我通过完成任务而非单纯聊天来社交，我愿意尝试。</t>
  </si>
  <si>
    <t>）相比于开阔、人员密集的公共社交场景，我更偏好尺度适中、氛围私密的小范围社交空间</t>
  </si>
  <si>
    <t>相比于无明确主题的自由闲聊，我更倾向于在有共同目标、任务导向的场景中开展社交互动</t>
  </si>
  <si>
    <t>总和</t>
  </si>
  <si>
    <r>
      <t>1</t>
    </r>
    <r>
      <rPr>
        <sz val="10"/>
        <color theme="1"/>
        <rFont val="宋体"/>
        <charset val="134"/>
      </rPr>
      <t>、我更倾向于选择该类视觉风格作为主要的场景呈现方式（写实）</t>
    </r>
  </si>
  <si>
    <r>
      <t>4</t>
    </r>
    <r>
      <rPr>
        <sz val="10"/>
        <color theme="1"/>
        <rFont val="宋体"/>
        <charset val="134"/>
      </rPr>
      <t>、相比于写实模拟，我更偏好具有艺术加工感或超现实元素的场景设计</t>
    </r>
  </si>
  <si>
    <r>
      <t>5</t>
    </r>
    <r>
      <rPr>
        <sz val="10"/>
        <color theme="1"/>
        <rFont val="宋体"/>
        <charset val="134"/>
      </rPr>
      <t>、场景的视觉独特性与艺术表现力比画面真实度更能吸引我长时间停留</t>
    </r>
  </si>
  <si>
    <r>
      <t>6</t>
    </r>
    <r>
      <rPr>
        <sz val="10"/>
        <color theme="1"/>
        <rFont val="宋体"/>
        <charset val="134"/>
      </rPr>
      <t>、相比于宏大空旷的广场，我更偏好尺度适中、具有安全感的紧凑空间</t>
    </r>
  </si>
  <si>
    <r>
      <t>7</t>
    </r>
    <r>
      <rPr>
        <sz val="10"/>
        <color theme="1"/>
        <rFont val="宋体"/>
        <charset val="134"/>
      </rPr>
      <t>、场景中存在明确的视觉遮挡或物理边界（如隔断、植被）会增强我的心理安全感</t>
    </r>
  </si>
  <si>
    <r>
      <t>8</t>
    </r>
    <r>
      <rPr>
        <sz val="10"/>
        <color theme="1"/>
        <rFont val="宋体"/>
        <charset val="134"/>
      </rPr>
      <t>、我偏好具有垂直空间层次（如高低地台、错层结构）而非单一平面的场景布局</t>
    </r>
  </si>
  <si>
    <r>
      <t>9</t>
    </r>
    <r>
      <rPr>
        <sz val="10"/>
        <color theme="1"/>
        <rFont val="宋体"/>
        <charset val="134"/>
      </rPr>
      <t>、我偏好低饱和度、色彩和谐的配色方案，认为其视觉干扰较低</t>
    </r>
  </si>
  <si>
    <r>
      <t>10</t>
    </r>
    <r>
      <rPr>
        <sz val="10"/>
        <color theme="1"/>
        <rFont val="宋体"/>
        <charset val="134"/>
      </rPr>
      <t>、相比于高对比度的强光照明，我更偏好光影过渡柔和、具有氛围感的漫反射照明</t>
    </r>
  </si>
  <si>
    <r>
      <t>11</t>
    </r>
    <r>
      <rPr>
        <sz val="10"/>
        <color theme="1"/>
        <rFont val="宋体"/>
        <charset val="134"/>
      </rPr>
      <t>、我认为场景色调随交互进程产生动态变化（如随任务进度变色）具有明确的情绪引导作用</t>
    </r>
  </si>
  <si>
    <r>
      <t>12</t>
    </r>
    <r>
      <rPr>
        <sz val="10"/>
        <color theme="1"/>
        <rFont val="宋体"/>
        <charset val="134"/>
      </rPr>
      <t>、我认为场景中存在可交互的动态元素（如随风摆动的植被、粒子效果）是必要的</t>
    </r>
  </si>
  <si>
    <r>
      <t>13</t>
    </r>
    <r>
      <rPr>
        <sz val="10"/>
        <color theme="1"/>
        <rFont val="宋体"/>
        <charset val="134"/>
      </rPr>
      <t>、场景中具有生活化细节的静态物件（如书籍、陈设道具）能有效缓解社交时的不自然感</t>
    </r>
  </si>
  <si>
    <r>
      <t>14</t>
    </r>
    <r>
      <rPr>
        <sz val="10"/>
        <color theme="1"/>
        <rFont val="宋体"/>
        <charset val="134"/>
      </rPr>
      <t>、当我产生交互行为（如发声、操作）时，我希望场景能给予即时的视觉反馈（如波纹、光效变化）</t>
    </r>
  </si>
  <si>
    <r>
      <t>15</t>
    </r>
    <r>
      <rPr>
        <sz val="10"/>
        <color theme="1"/>
        <rFont val="宋体"/>
        <charset val="134"/>
      </rPr>
      <t>、相比于高密度的装饰细节，我更偏好视觉信息简洁、交互点明确的场景设计</t>
    </r>
  </si>
  <si>
    <r>
      <t>16</t>
    </r>
    <r>
      <rPr>
        <sz val="10"/>
        <color theme="1"/>
        <rFont val="宋体"/>
        <charset val="134"/>
      </rPr>
      <t>、我希望场景中的自然元素（如云朵、草木）能与用户的生理体征（如呼吸、语调）产生实时联动</t>
    </r>
  </si>
  <si>
    <r>
      <t>17</t>
    </r>
    <r>
      <rPr>
        <sz val="10"/>
        <color theme="1"/>
        <rFont val="宋体"/>
        <charset val="134"/>
      </rPr>
      <t>、我认为场景应具备清晰的空间逻辑和秩序感，以便于我快速理解环境功能</t>
    </r>
  </si>
  <si>
    <t xml:space="preserve"> </t>
  </si>
  <si>
    <t>题目</t>
  </si>
  <si>
    <t>皮埃尔章节古堡解谜</t>
  </si>
  <si>
    <t>皮埃尔章节太空舞台</t>
  </si>
  <si>
    <t>序章雨中城市</t>
  </si>
  <si>
    <t>序章萨沙的家</t>
  </si>
  <si>
    <t>皮埃尔章节森林小路</t>
  </si>
  <si>
    <t>双人线索拼合</t>
  </si>
  <si>
    <t>古堡机关同步</t>
  </si>
  <si>
    <t>跨媒介联动</t>
  </si>
  <si>
    <t>3D叙事交互</t>
  </si>
  <si>
    <t>具身交互操作</t>
  </si>
  <si>
    <t>黑板绘画共创</t>
  </si>
  <si>
    <t>担心头晕不适</t>
  </si>
  <si>
    <t>公共场合不自在</t>
  </si>
  <si>
    <t>设备门槛高</t>
  </si>
  <si>
    <t>内容单调无聊</t>
  </si>
  <si>
    <t>空闲时间不足</t>
  </si>
  <si>
    <t>价格高无渠道</t>
  </si>
  <si>
    <t>围观人数多</t>
  </si>
  <si>
    <t>设备陈旧不卫生</t>
  </si>
  <si>
    <t>环境闷热嘈杂</t>
  </si>
  <si>
    <t>无工作人员引导</t>
  </si>
  <si>
    <t>穿着不便</t>
  </si>
  <si>
    <t>体验时长过长</t>
  </si>
  <si>
    <t>题1_清晰理解主线故事</t>
  </si>
  <si>
    <t>题2_故事与协作结合紧密</t>
  </si>
  <si>
    <t>题3_3D叙事设计有帮助</t>
  </si>
  <si>
    <t>题4_非对称任务推动协作</t>
  </si>
  <si>
    <t>题5_交互操作上手难度反</t>
  </si>
  <si>
    <t>题10_大范围走动眩晕感反</t>
  </si>
  <si>
    <t>题11_被他人注视不自在</t>
  </si>
  <si>
    <t>题12_首次进入未知环境紧张</t>
  </si>
  <si>
    <t>题13_担心投入表现可笑</t>
  </si>
  <si>
    <t>题14_完全沉浸愉悦旅程</t>
  </si>
  <si>
    <t>题15_摘下设备意犹未尽</t>
  </si>
  <si>
    <t>题16_摘下设备如释重负</t>
  </si>
  <si>
    <t>题17_购买意愿变强</t>
  </si>
  <si>
    <t>题18_购买意愿变弱</t>
  </si>
  <si>
    <t>题19_愿意分享体验</t>
  </si>
  <si>
    <r>
      <t>3</t>
    </r>
    <r>
      <rPr>
        <sz val="10"/>
        <color theme="1"/>
        <rFont val="宋体"/>
        <charset val="134"/>
      </rPr>
      <t>我更依赖社交媒体（如朋友圈、动态）来展示自我。</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</si>
</sst>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Arial"/>
      <charset val="134"/>
    </font>
    <font>
      <sz val="10"/>
      <color theme="1"/>
      <name val="宋体"/>
      <charset val="134"/>
    </font>
    <font>
      <sz val="11"/>
      <color theme="1"/>
      <name val="等线"/>
      <charset val="134"/>
      <scheme val="minor"/>
    </font>
    <font>
      <b val="1"/>
      <sz val="10"/>
      <color rgb="FF1F1F1F"/>
      <name val="Arial"/>
      <charset val="134"/>
    </font>
    <font>
      <sz val="10"/>
      <color rgb="FF444746"/>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1"/>
      <sz val="18"/>
      <color theme="3"/>
      <name val="等线"/>
      <charset val="134"/>
      <scheme val="minor"/>
    </font>
    <font>
      <i val="1"/>
      <sz val="11"/>
      <color rgb="FF7F7F7F"/>
      <name val="等线"/>
      <charset val="0"/>
      <scheme val="minor"/>
    </font>
    <font>
      <b val="1"/>
      <sz val="15"/>
      <color theme="3"/>
      <name val="等线"/>
      <charset val="134"/>
      <scheme val="minor"/>
    </font>
    <font>
      <b val="1"/>
      <sz val="13"/>
      <color theme="3"/>
      <name val="等线"/>
      <charset val="134"/>
      <scheme val="minor"/>
    </font>
    <font>
      <b val="1"/>
      <sz val="11"/>
      <color theme="3"/>
      <name val="等线"/>
      <charset val="134"/>
      <scheme val="minor"/>
    </font>
    <font>
      <sz val="11"/>
      <color rgb="FF3F3F76"/>
      <name val="等线"/>
      <charset val="0"/>
      <scheme val="minor"/>
    </font>
    <font>
      <b val="1"/>
      <sz val="11"/>
      <color rgb="FF3F3F3F"/>
      <name val="等线"/>
      <charset val="0"/>
      <scheme val="minor"/>
    </font>
    <font>
      <b val="1"/>
      <sz val="11"/>
      <color rgb="FFFA7D00"/>
      <name val="等线"/>
      <charset val="0"/>
      <scheme val="minor"/>
    </font>
    <font>
      <b val="1"/>
      <sz val="11"/>
      <color rgb="FFFFFFFF"/>
      <name val="等线"/>
      <charset val="0"/>
      <scheme val="minor"/>
    </font>
    <font>
      <sz val="11"/>
      <color rgb="FFFA7D00"/>
      <name val="等线"/>
      <charset val="0"/>
      <scheme val="minor"/>
    </font>
    <font>
      <b val="1"/>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1F1F1F"/>
      </left>
      <right style="medium">
        <color rgb="FF1F1F1F"/>
      </right>
      <top style="medium">
        <color rgb="FF1F1F1F"/>
      </top>
      <bottom style="medium">
        <color rgb="FF1F1F1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2" fillId="0" borderId="0" applyFont="false" applyFill="false" applyBorder="false" applyAlignment="false" applyProtection="false">
      <alignment vertical="center"/>
    </xf>
    <xf numFmtId="44" fontId="2" fillId="0" borderId="0" applyFont="false" applyFill="false" applyBorder="false" applyAlignment="false" applyProtection="false">
      <alignment vertical="center"/>
    </xf>
    <xf numFmtId="9" fontId="2" fillId="0" borderId="0" applyFont="false" applyFill="false" applyBorder="false" applyAlignment="false" applyProtection="false">
      <alignment vertical="center"/>
    </xf>
    <xf numFmtId="41" fontId="2" fillId="0" borderId="0" applyFont="false" applyFill="false" applyBorder="false" applyAlignment="false" applyProtection="false">
      <alignment vertical="center"/>
    </xf>
    <xf numFmtId="42" fontId="2" fillId="0" borderId="0" applyFon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2" fillId="3" borderId="2" applyNumberFormat="false" applyFont="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3" applyNumberFormat="false" applyFill="false" applyAlignment="false" applyProtection="false">
      <alignment vertical="center"/>
    </xf>
    <xf numFmtId="0" fontId="12" fillId="0" borderId="3" applyNumberFormat="false" applyFill="false" applyAlignment="false" applyProtection="false">
      <alignment vertical="center"/>
    </xf>
    <xf numFmtId="0" fontId="13" fillId="0" borderId="4" applyNumberFormat="false" applyFill="false" applyAlignment="false" applyProtection="false">
      <alignment vertical="center"/>
    </xf>
    <xf numFmtId="0" fontId="13" fillId="0" borderId="0" applyNumberFormat="false" applyFill="false" applyBorder="false" applyAlignment="false" applyProtection="false">
      <alignment vertical="center"/>
    </xf>
    <xf numFmtId="0" fontId="14" fillId="4" borderId="5" applyNumberFormat="false" applyAlignment="false" applyProtection="false">
      <alignment vertical="center"/>
    </xf>
    <xf numFmtId="0" fontId="15" fillId="5" borderId="6" applyNumberFormat="false" applyAlignment="false" applyProtection="false">
      <alignment vertical="center"/>
    </xf>
    <xf numFmtId="0" fontId="16" fillId="5" borderId="5" applyNumberFormat="false" applyAlignment="false" applyProtection="false">
      <alignment vertical="center"/>
    </xf>
    <xf numFmtId="0" fontId="17" fillId="6" borderId="7" applyNumberFormat="false" applyAlignment="false" applyProtection="false">
      <alignment vertical="center"/>
    </xf>
    <xf numFmtId="0" fontId="18" fillId="0" borderId="8" applyNumberFormat="false" applyFill="false" applyAlignment="false" applyProtection="false">
      <alignment vertical="center"/>
    </xf>
    <xf numFmtId="0" fontId="19" fillId="0" borderId="9" applyNumberFormat="false" applyFill="false" applyAlignment="false" applyProtection="false">
      <alignment vertical="center"/>
    </xf>
    <xf numFmtId="0" fontId="20" fillId="7" borderId="0" applyNumberFormat="false" applyBorder="false" applyAlignment="false" applyProtection="false">
      <alignment vertical="center"/>
    </xf>
    <xf numFmtId="0" fontId="21" fillId="8" borderId="0" applyNumberFormat="false" applyBorder="false" applyAlignment="false" applyProtection="false">
      <alignment vertical="center"/>
    </xf>
    <xf numFmtId="0" fontId="22" fillId="9" borderId="0" applyNumberFormat="false" applyBorder="false" applyAlignment="false" applyProtection="false">
      <alignment vertical="center"/>
    </xf>
    <xf numFmtId="0" fontId="23" fillId="10" borderId="0" applyNumberFormat="false" applyBorder="false" applyAlignment="false" applyProtection="false">
      <alignment vertical="center"/>
    </xf>
    <xf numFmtId="0" fontId="24" fillId="11" borderId="0" applyNumberFormat="false" applyBorder="false" applyAlignment="false" applyProtection="false">
      <alignment vertical="center"/>
    </xf>
    <xf numFmtId="0" fontId="24"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3" fillId="14" borderId="0" applyNumberFormat="false" applyBorder="false" applyAlignment="false" applyProtection="false">
      <alignment vertical="center"/>
    </xf>
    <xf numFmtId="0" fontId="24" fillId="15" borderId="0" applyNumberFormat="false" applyBorder="false" applyAlignment="false" applyProtection="false">
      <alignment vertical="center"/>
    </xf>
    <xf numFmtId="0" fontId="24"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3" fillId="18" borderId="0" applyNumberFormat="false" applyBorder="false" applyAlignment="false" applyProtection="false">
      <alignment vertical="center"/>
    </xf>
    <xf numFmtId="0" fontId="24" fillId="19" borderId="0" applyNumberFormat="false" applyBorder="false" applyAlignment="false" applyProtection="false">
      <alignment vertical="center"/>
    </xf>
    <xf numFmtId="0" fontId="24"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3" fillId="22" borderId="0" applyNumberFormat="false" applyBorder="false" applyAlignment="false" applyProtection="false">
      <alignment vertical="center"/>
    </xf>
    <xf numFmtId="0" fontId="24" fillId="23" borderId="0" applyNumberFormat="false" applyBorder="false" applyAlignment="false" applyProtection="false">
      <alignment vertical="center"/>
    </xf>
    <xf numFmtId="0" fontId="24"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3" fillId="26" borderId="0" applyNumberFormat="false" applyBorder="false" applyAlignment="false" applyProtection="false">
      <alignment vertical="center"/>
    </xf>
    <xf numFmtId="0" fontId="24" fillId="27" borderId="0" applyNumberFormat="false" applyBorder="false" applyAlignment="false" applyProtection="false">
      <alignment vertical="center"/>
    </xf>
    <xf numFmtId="0" fontId="24"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3" fillId="30" borderId="0" applyNumberFormat="false" applyBorder="false" applyAlignment="false" applyProtection="false">
      <alignment vertical="center"/>
    </xf>
    <xf numFmtId="0" fontId="24" fillId="31" borderId="0" applyNumberFormat="false" applyBorder="false" applyAlignment="false" applyProtection="false">
      <alignment vertical="center"/>
    </xf>
    <xf numFmtId="0" fontId="24"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0" fillId="0" borderId="0"/>
    <xf numFmtId="9" fontId="0" fillId="0" borderId="0" applyFont="false" applyFill="false" applyBorder="false" applyAlignment="false" applyProtection="false"/>
    <xf numFmtId="44" fontId="0" fillId="0" borderId="0" applyFont="false" applyFill="false" applyBorder="false" applyAlignment="false" applyProtection="false"/>
    <xf numFmtId="42" fontId="0" fillId="0" borderId="0" applyFont="false" applyFill="false" applyBorder="false" applyAlignment="false" applyProtection="false"/>
    <xf numFmtId="43" fontId="0" fillId="0" borderId="0" applyFont="false" applyFill="false" applyBorder="false" applyAlignment="false" applyProtection="false"/>
    <xf numFmtId="41" fontId="0" fillId="0" borderId="0" applyFont="false" applyFill="false" applyBorder="false" applyAlignment="false" applyProtection="false"/>
  </cellStyleXfs>
  <cellXfs count="19">
    <xf numFmtId="0" fontId="0" fillId="0" borderId="0" xfId="49"/>
    <xf numFmtId="0" fontId="1" fillId="0" borderId="0" xfId="49" applyFont="true"/>
    <xf numFmtId="0" fontId="0" fillId="2" borderId="0" xfId="49" applyFill="true"/>
    <xf numFmtId="0" fontId="0" fillId="0" borderId="0" xfId="49" applyFont="true"/>
    <xf numFmtId="0" fontId="1" fillId="0" borderId="0" xfId="49" applyNumberFormat="true" applyFont="true"/>
    <xf numFmtId="0" fontId="0" fillId="0" borderId="0" xfId="49" applyAlignment="true">
      <alignment horizontal="center"/>
    </xf>
    <xf numFmtId="0" fontId="2" fillId="0" borderId="0" xfId="0" applyFont="true" applyFill="true" applyAlignment="true">
      <alignment horizontal="center"/>
    </xf>
    <xf numFmtId="0" fontId="1" fillId="0" borderId="0" xfId="49" applyFont="true" applyFill="true" applyAlignment="true"/>
    <xf numFmtId="0" fontId="3" fillId="0" borderId="1" xfId="0" applyFont="true" applyBorder="true" applyAlignment="true">
      <alignment readingOrder="1" vertical="center" wrapText="true"/>
    </xf>
    <xf numFmtId="0" fontId="4" fillId="0" borderId="1" xfId="0" applyFont="true" applyBorder="true" applyAlignment="true">
      <alignment readingOrder="1" vertical="center" wrapText="true"/>
    </xf>
    <xf numFmtId="0" fontId="2" fillId="0" borderId="0" xfId="0" applyFont="true" applyFill="true" applyBorder="true" applyAlignment="true">
      <alignment horizontal="center"/>
    </xf>
    <xf numFmtId="0" fontId="0" fillId="0" borderId="0" xfId="49" applyFont="true" applyFill="true" applyAlignment="true"/>
    <xf numFmtId="0" fontId="0" fillId="0" borderId="0" xfId="49" applyNumberFormat="true"/>
    <xf numFmtId="0" fontId="2" fillId="0" borderId="0" xfId="0" applyFont="true">
      <alignment vertical="center"/>
    </xf>
    <xf numFmtId="0" fontId="2" fillId="0" borderId="0" xfId="0" applyNumberFormat="true" applyFont="true">
      <alignment vertical="center"/>
    </xf>
    <xf numFmtId="0" fontId="2" fillId="0" borderId="0" xfId="0" applyNumberFormat="true" applyFont="true" applyAlignment="true">
      <alignment vertical="center" wrapText="true"/>
    </xf>
    <xf numFmtId="0" fontId="2" fillId="0" borderId="0" xfId="0" applyFont="true" applyFill="true" applyAlignment="true"/>
    <xf numFmtId="0" fontId="5" fillId="0" borderId="0" xfId="0" applyFont="true" applyFill="true" applyAlignment="true"/>
    <xf numFmtId="0" fontId="0" fillId="0" borderId="0" xfId="0">
      <alignmen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75BD42"/>
      <color rgb="008FC965"/>
      <color rgb="00706FD3"/>
      <color rgb="0040407A"/>
      <color rgb="007979A2"/>
      <color rgb="00F7F1E3"/>
      <color rgb="00ED7D31"/>
      <color rgb="004A6092"/>
      <color rgb="0074D3D1"/>
      <color rgb="009898B7"/>
    </mru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9" Target="worksheets/sheet9.xml" Type="http://schemas.openxmlformats.org/officeDocument/2006/relationships/worksheet"></Relationship><Relationship Id="rId8" Target="worksheets/sheet8.xml" Type="http://schemas.openxmlformats.org/officeDocument/2006/relationships/worksheet"></Relationship><Relationship Id="rId7" Target="worksheets/sheet7.xml" Type="http://schemas.openxmlformats.org/officeDocument/2006/relationships/worksheet"></Relationship><Relationship Id="rId6" Target="worksheets/sheet6.xml" Type="http://schemas.openxmlformats.org/officeDocument/2006/relationships/worksheet"></Relationship><Relationship Id="rId5" Target="worksheets/sheet5.xml" Type="http://schemas.openxmlformats.org/officeDocument/2006/relationships/worksheet"></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5" Target="styles.xml" Type="http://schemas.openxmlformats.org/officeDocument/2006/relationships/styles"></Relationship><Relationship Id="rId14" Target="sharedStrings.xml" Type="http://schemas.openxmlformats.org/officeDocument/2006/relationships/sharedStrings"></Relationship><Relationship Id="rId13" Target="theme/theme1.xml" Type="http://schemas.openxmlformats.org/officeDocument/2006/relationships/theme"></Relationship><Relationship Id="rId12" Target="worksheets/sheet12.xml" Type="http://schemas.openxmlformats.org/officeDocument/2006/relationships/worksheet"></Relationship><Relationship Id="rId11" Target="worksheets/sheet11.xml" Type="http://schemas.openxmlformats.org/officeDocument/2006/relationships/worksheet"></Relationship><Relationship Id="rId10" Target="worksheets/sheet10.xml" Type="http://schemas.openxmlformats.org/officeDocument/2006/relationships/worksheet"></Relationship><Relationship Id="rId1" Target="worksheets/sheet1.xml" Type="http://schemas.openxmlformats.org/officeDocument/2006/relationships/worksheet"></Relationship></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3" Type="http://schemas.microsoft.com/office/2011/relationships/chartColorStyle" Target="colors4.xml"/><Relationship Id="rId2" Type="http://schemas.microsoft.com/office/2011/relationships/chartStyle" Target="style4.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3" Type="http://schemas.microsoft.com/office/2011/relationships/chartColorStyle" Target="colors5.xml"/><Relationship Id="rId2" Type="http://schemas.microsoft.com/office/2011/relationships/chartStyle" Target="style5.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3" Type="http://schemas.microsoft.com/office/2011/relationships/chartColorStyle" Target="colors6.xml"/><Relationship Id="rId2" Type="http://schemas.microsoft.com/office/2011/relationships/chartStyle" Target="style6.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3" Type="http://schemas.microsoft.com/office/2011/relationships/chartColorStyle" Target="colors7.xml"/><Relationship Id="rId2" Type="http://schemas.microsoft.com/office/2011/relationships/chartStyle" Target="style7.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3" Type="http://schemas.microsoft.com/office/2011/relationships/chartColorStyle" Target="colors8.xml"/><Relationship Id="rId2" Type="http://schemas.microsoft.com/office/2011/relationships/chartStyle" Target="style8.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3" Type="http://schemas.microsoft.com/office/2011/relationships/chartColorStyle" Target="colors9.xml"/><Relationship Id="rId2" Type="http://schemas.microsoft.com/office/2011/relationships/chartStyle" Target="style9.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3" Type="http://schemas.microsoft.com/office/2011/relationships/chartColorStyle" Target="colors10.xml"/><Relationship Id="rId2" Type="http://schemas.microsoft.com/office/2011/relationships/chartStyle" Target="style10.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3" Type="http://schemas.microsoft.com/office/2011/relationships/chartColorStyle" Target="colors11.xml"/><Relationship Id="rId2" Type="http://schemas.microsoft.com/office/2011/relationships/chartStyle" Target="style11.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3" Type="http://schemas.microsoft.com/office/2011/relationships/chartColorStyle" Target="colors12.xml"/><Relationship Id="rId2" Type="http://schemas.microsoft.com/office/2011/relationships/chartStyle" Target="style12.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3" Type="http://schemas.microsoft.com/office/2011/relationships/chartColorStyle" Target="colors13.xml"/><Relationship Id="rId2" Type="http://schemas.microsoft.com/office/2011/relationships/chartStyle" Target="style13.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3" Type="http://schemas.microsoft.com/office/2011/relationships/chartColorStyle" Target="colors14.xml"/><Relationship Id="rId2" Type="http://schemas.microsoft.com/office/2011/relationships/chartStyle" Target="style14.xml"/><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3" Type="http://schemas.microsoft.com/office/2011/relationships/chartColorStyle" Target="colors15.xml"/><Relationship Id="rId2" Type="http://schemas.microsoft.com/office/2011/relationships/chartStyle" Target="style15.xml"/><Relationship Id="rId1" Type="http://schemas.openxmlformats.org/officeDocument/2006/relationships/themeOverride" Target="../theme/themeOverride15.xml"/></Relationships>
</file>

<file path=xl/charts/_rels/chart16.xml.rels><?xml version="1.0" encoding="UTF-8" standalone="yes"?>
<Relationships xmlns="http://schemas.openxmlformats.org/package/2006/relationships"><Relationship Id="rId3" Type="http://schemas.microsoft.com/office/2011/relationships/chartColorStyle" Target="colors16.xml"/><Relationship Id="rId2" Type="http://schemas.microsoft.com/office/2011/relationships/chartStyle" Target="style16.xml"/><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3" Type="http://schemas.microsoft.com/office/2011/relationships/chartColorStyle" Target="colors17.xml"/><Relationship Id="rId2" Type="http://schemas.microsoft.com/office/2011/relationships/chartStyle" Target="style17.xml"/><Relationship Id="rId1" Type="http://schemas.openxmlformats.org/officeDocument/2006/relationships/themeOverride" Target="../theme/themeOverride17.xml"/></Relationships>
</file>

<file path=xl/charts/_rels/chart18.xml.rels><?xml version="1.0" encoding="UTF-8" standalone="yes"?>
<Relationships xmlns="http://schemas.openxmlformats.org/package/2006/relationships"><Relationship Id="rId3" Type="http://schemas.microsoft.com/office/2011/relationships/chartColorStyle" Target="colors18.xml"/><Relationship Id="rId2" Type="http://schemas.microsoft.com/office/2011/relationships/chartStyle" Target="style18.xml"/><Relationship Id="rId1" Type="http://schemas.openxmlformats.org/officeDocument/2006/relationships/themeOverride" Target="../theme/themeOverride18.xml"/></Relationships>
</file>

<file path=xl/charts/_rels/chart19.xml.rels><?xml version="1.0" encoding="UTF-8" standalone="yes"?>
<Relationships xmlns="http://schemas.openxmlformats.org/package/2006/relationships"><Relationship Id="rId3" Type="http://schemas.microsoft.com/office/2011/relationships/chartColorStyle" Target="colors19.xml"/><Relationship Id="rId2" Type="http://schemas.microsoft.com/office/2011/relationships/chartStyle" Target="style19.xml"/><Relationship Id="rId1" Type="http://schemas.openxmlformats.org/officeDocument/2006/relationships/themeOverride" Target="../theme/themeOverride19.xml"/></Relationships>
</file>

<file path=xl/charts/_rels/chart20.xml.rels><?xml version="1.0" encoding="UTF-8" standalone="yes"?>
<Relationships xmlns="http://schemas.openxmlformats.org/package/2006/relationships"><Relationship Id="rId3" Type="http://schemas.microsoft.com/office/2011/relationships/chartColorStyle" Target="colors20.xml"/><Relationship Id="rId2" Type="http://schemas.microsoft.com/office/2011/relationships/chartStyle" Target="style20.xml"/><Relationship Id="rId1" Type="http://schemas.openxmlformats.org/officeDocument/2006/relationships/themeOverride" Target="../theme/themeOverride20.xml"/></Relationships>
</file>

<file path=xl/charts/_rels/chart21.xml.rels><?xml version="1.0" encoding="UTF-8" standalone="yes"?>
<Relationships xmlns="http://schemas.openxmlformats.org/package/2006/relationships"><Relationship Id="rId3" Type="http://schemas.microsoft.com/office/2011/relationships/chartColorStyle" Target="colors21.xml"/><Relationship Id="rId2" Type="http://schemas.microsoft.com/office/2011/relationships/chartStyle" Target="style21.xml"/><Relationship Id="rId1" Type="http://schemas.openxmlformats.org/officeDocument/2006/relationships/themeOverride" Target="../theme/themeOverride21.xml"/></Relationships>
</file>

<file path=xl/charts/_rels/chart22.xml.rels><?xml version="1.0" encoding="UTF-8" standalone="yes"?>
<Relationships xmlns="http://schemas.openxmlformats.org/package/2006/relationships"><Relationship Id="rId3" Type="http://schemas.microsoft.com/office/2011/relationships/chartColorStyle" Target="colors22.xml"/><Relationship Id="rId2" Type="http://schemas.microsoft.com/office/2011/relationships/chartStyle" Target="style22.xml"/><Relationship Id="rId1" Type="http://schemas.openxmlformats.org/officeDocument/2006/relationships/themeOverride" Target="../theme/themeOverride22.xml"/></Relationships>
</file>

<file path=xl/charts/_rels/chart23.xml.rels><?xml version="1.0" encoding="UTF-8" standalone="yes"?>
<Relationships xmlns="http://schemas.openxmlformats.org/package/2006/relationships"><Relationship Id="rId3" Type="http://schemas.microsoft.com/office/2011/relationships/chartColorStyle" Target="colors23.xml"/><Relationship Id="rId2" Type="http://schemas.microsoft.com/office/2011/relationships/chartStyle" Target="style23.xml"/><Relationship Id="rId1" Type="http://schemas.openxmlformats.org/officeDocument/2006/relationships/themeOverride" Target="../theme/themeOverride23.xml"/></Relationships>
</file>

<file path=xl/charts/_rels/chart24.xml.rels><?xml version="1.0" encoding="UTF-8" standalone="yes"?>
<Relationships xmlns="http://schemas.openxmlformats.org/package/2006/relationships"><Relationship Id="rId3" Type="http://schemas.microsoft.com/office/2011/relationships/chartColorStyle" Target="colors24.xml"/><Relationship Id="rId2" Type="http://schemas.microsoft.com/office/2011/relationships/chartStyle" Target="style24.xml"/><Relationship Id="rId1" Type="http://schemas.openxmlformats.org/officeDocument/2006/relationships/themeOverride" Target="../theme/themeOverride24.xml"/></Relationships>
</file>

<file path=xl/charts/_rels/chart25.xml.rels><?xml version="1.0" encoding="UTF-8" standalone="yes"?>
<Relationships xmlns="http://schemas.openxmlformats.org/package/2006/relationships"><Relationship Id="rId3" Type="http://schemas.microsoft.com/office/2011/relationships/chartColorStyle" Target="colors25.xml"/><Relationship Id="rId2" Type="http://schemas.microsoft.com/office/2011/relationships/chartStyle" Target="style25.xml"/><Relationship Id="rId1" Type="http://schemas.openxmlformats.org/officeDocument/2006/relationships/themeOverride" Target="../theme/themeOverride25.xml"/></Relationships>
</file>

<file path=xl/charts/_rels/chart26.xml.rels><?xml version="1.0" encoding="UTF-8" standalone="yes"?>
<Relationships xmlns="http://schemas.openxmlformats.org/package/2006/relationships"><Relationship Id="rId3" Type="http://schemas.microsoft.com/office/2011/relationships/chartColorStyle" Target="colors26.xml"/><Relationship Id="rId2" Type="http://schemas.microsoft.com/office/2011/relationships/chartStyle" Target="style26.xml"/><Relationship Id="rId1" Type="http://schemas.openxmlformats.org/officeDocument/2006/relationships/themeOverride" Target="../theme/themeOverride26.xml"/></Relationships>
</file>

<file path=xl/charts/_rels/chart27.xml.rels><?xml version="1.0" encoding="UTF-8" standalone="yes"?>
<Relationships xmlns="http://schemas.openxmlformats.org/package/2006/relationships"><Relationship Id="rId3" Type="http://schemas.microsoft.com/office/2011/relationships/chartColorStyle" Target="colors27.xml"/><Relationship Id="rId2" Type="http://schemas.microsoft.com/office/2011/relationships/chartStyle" Target="style27.xml"/><Relationship Id="rId1" Type="http://schemas.openxmlformats.org/officeDocument/2006/relationships/themeOverride" Target="../theme/themeOverride2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E0553E"/>
              </a:solidFill>
              <a:ln w="19050">
                <a:solidFill>
                  <a:schemeClr val="bg1"/>
                </a:solidFill>
              </a:ln>
              <a:effectLst/>
            </c:spPr>
          </c:dPt>
          <c:dPt>
            <c:idx val="1"/>
            <c:bubble3D val="0"/>
            <c:spPr>
              <a:solidFill>
                <a:schemeClr val="accent2"/>
              </a:solidFill>
              <a:ln w="19050">
                <a:solidFill>
                  <a:schemeClr val="bg1"/>
                </a:solidFill>
              </a:ln>
              <a:effectLst/>
            </c:spPr>
          </c:dPt>
          <c:dPt>
            <c:idx val="2"/>
            <c:bubble3D val="0"/>
            <c:spPr>
              <a:solidFill>
                <a:schemeClr val="accent3"/>
              </a:solidFill>
              <a:ln w="19050">
                <a:solidFill>
                  <a:schemeClr val="bg1"/>
                </a:solidFill>
              </a:ln>
              <a:effectLst/>
            </c:spPr>
          </c:dPt>
          <c:dPt>
            <c:idx val="3"/>
            <c:bubble3D val="0"/>
            <c:spPr>
              <a:solidFill>
                <a:srgbClr val="8FC965"/>
              </a:solidFill>
              <a:ln w="19050">
                <a:solidFill>
                  <a:schemeClr val="bg1"/>
                </a:solidFill>
              </a:ln>
              <a:effectLst/>
            </c:spPr>
          </c:dPt>
          <c:dPt>
            <c:idx val="4"/>
            <c:bubble3D val="0"/>
            <c:spPr>
              <a:solidFill>
                <a:srgbClr val="52D4C6"/>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美术统计!$B$15:$F$15</c:f>
              <c:numCache>
                <c:formatCode>General</c:formatCode>
                <c:ptCount val="5"/>
                <c:pt idx="0">
                  <c:v>5</c:v>
                </c:pt>
                <c:pt idx="1">
                  <c:v>6</c:v>
                </c:pt>
                <c:pt idx="2">
                  <c:v>34</c:v>
                </c:pt>
                <c:pt idx="3">
                  <c:v>44</c:v>
                </c:pt>
                <c:pt idx="4">
                  <c:v>29</c:v>
                </c:pt>
              </c:numCache>
            </c:numRef>
          </c:val>
        </c:ser>
        <c:ser>
          <c:idx val="1"/>
          <c:order val="1"/>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numFmt formatCode="General" sourceLinked="1"/>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美术统计!$B$16:$F$16</c:f>
              <c:numCache>
                <c:formatCode>General</c:formatCode>
                <c:ptCount val="5"/>
                <c:pt idx="0">
                  <c:v>3</c:v>
                </c:pt>
                <c:pt idx="1">
                  <c:v>8</c:v>
                </c:pt>
                <c:pt idx="2">
                  <c:v>42</c:v>
                </c:pt>
                <c:pt idx="3">
                  <c:v>33</c:v>
                </c:pt>
                <c:pt idx="4">
                  <c:v>32</c:v>
                </c:pt>
              </c:numCache>
            </c:numRef>
          </c:val>
        </c:ser>
        <c:ser>
          <c:idx val="2"/>
          <c:order val="2"/>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numFmt formatCode="General" sourceLinked="1"/>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美术统计!$B$17:$F$17</c:f>
              <c:numCache>
                <c:formatCode>General</c:formatCode>
                <c:ptCount val="5"/>
                <c:pt idx="0">
                  <c:v>4</c:v>
                </c:pt>
                <c:pt idx="1">
                  <c:v>7</c:v>
                </c:pt>
                <c:pt idx="2">
                  <c:v>32</c:v>
                </c:pt>
                <c:pt idx="3">
                  <c:v>39</c:v>
                </c:pt>
                <c:pt idx="4">
                  <c:v>36</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E0553E"/>
              </a:solidFill>
              <a:ln w="19050">
                <a:solidFill>
                  <a:schemeClr val="bg1"/>
                </a:solidFill>
              </a:ln>
              <a:effectLst/>
            </c:spPr>
          </c:dPt>
          <c:dPt>
            <c:idx val="1"/>
            <c:bubble3D val="0"/>
            <c:spPr>
              <a:solidFill>
                <a:schemeClr val="accent2"/>
              </a:solidFill>
              <a:ln w="19050">
                <a:solidFill>
                  <a:schemeClr val="bg1"/>
                </a:solidFill>
              </a:ln>
              <a:effectLst/>
            </c:spPr>
          </c:dPt>
          <c:dPt>
            <c:idx val="2"/>
            <c:bubble3D val="0"/>
            <c:spPr>
              <a:solidFill>
                <a:schemeClr val="accent3"/>
              </a:solidFill>
              <a:ln w="19050">
                <a:solidFill>
                  <a:schemeClr val="bg1"/>
                </a:solidFill>
              </a:ln>
              <a:effectLst/>
            </c:spPr>
          </c:dPt>
          <c:dPt>
            <c:idx val="3"/>
            <c:bubble3D val="0"/>
            <c:spPr>
              <a:solidFill>
                <a:srgbClr val="8FC965"/>
              </a:solidFill>
              <a:ln w="19050">
                <a:solidFill>
                  <a:schemeClr val="bg1"/>
                </a:solidFill>
              </a:ln>
              <a:effectLst/>
            </c:spPr>
          </c:dPt>
          <c:dPt>
            <c:idx val="4"/>
            <c:bubble3D val="0"/>
            <c:spPr>
              <a:solidFill>
                <a:srgbClr val="52D4C6"/>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美术统计!$B$11:$F$11</c:f>
              <c:numCache>
                <c:formatCode>General</c:formatCode>
                <c:ptCount val="5"/>
                <c:pt idx="0">
                  <c:v>4</c:v>
                </c:pt>
                <c:pt idx="1">
                  <c:v>11</c:v>
                </c:pt>
                <c:pt idx="2">
                  <c:v>37</c:v>
                </c:pt>
                <c:pt idx="3">
                  <c:v>41</c:v>
                </c:pt>
                <c:pt idx="4">
                  <c:v>25</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E0553E"/>
              </a:solidFill>
              <a:ln w="19050">
                <a:solidFill>
                  <a:schemeClr val="bg1"/>
                </a:solidFill>
              </a:ln>
              <a:effectLst/>
            </c:spPr>
          </c:dPt>
          <c:dPt>
            <c:idx val="1"/>
            <c:bubble3D val="0"/>
            <c:spPr>
              <a:solidFill>
                <a:schemeClr val="accent2"/>
              </a:solidFill>
              <a:ln w="19050">
                <a:solidFill>
                  <a:schemeClr val="bg1"/>
                </a:solidFill>
              </a:ln>
              <a:effectLst/>
            </c:spPr>
          </c:dPt>
          <c:dPt>
            <c:idx val="2"/>
            <c:bubble3D val="0"/>
            <c:spPr>
              <a:solidFill>
                <a:schemeClr val="accent3"/>
              </a:solidFill>
              <a:ln w="19050">
                <a:solidFill>
                  <a:schemeClr val="bg1"/>
                </a:solidFill>
              </a:ln>
              <a:effectLst/>
            </c:spPr>
          </c:dPt>
          <c:dPt>
            <c:idx val="3"/>
            <c:bubble3D val="0"/>
            <c:spPr>
              <a:solidFill>
                <a:srgbClr val="8FC965"/>
              </a:solidFill>
              <a:ln w="19050">
                <a:solidFill>
                  <a:schemeClr val="bg1"/>
                </a:solidFill>
              </a:ln>
              <a:effectLst/>
            </c:spPr>
          </c:dPt>
          <c:dPt>
            <c:idx val="4"/>
            <c:bubble3D val="0"/>
            <c:spPr>
              <a:solidFill>
                <a:srgbClr val="52D4C6"/>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美术统计!$B$12:$F$12</c:f>
              <c:numCache>
                <c:formatCode>General</c:formatCode>
                <c:ptCount val="5"/>
                <c:pt idx="0">
                  <c:v>3</c:v>
                </c:pt>
                <c:pt idx="1">
                  <c:v>10</c:v>
                </c:pt>
                <c:pt idx="2">
                  <c:v>37</c:v>
                </c:pt>
                <c:pt idx="3">
                  <c:v>39</c:v>
                </c:pt>
                <c:pt idx="4">
                  <c:v>29</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E0553E"/>
              </a:solidFill>
              <a:ln w="19050">
                <a:solidFill>
                  <a:schemeClr val="bg1"/>
                </a:solidFill>
              </a:ln>
              <a:effectLst/>
            </c:spPr>
          </c:dPt>
          <c:dPt>
            <c:idx val="1"/>
            <c:bubble3D val="0"/>
            <c:spPr>
              <a:solidFill>
                <a:schemeClr val="accent2"/>
              </a:solidFill>
              <a:ln w="19050">
                <a:solidFill>
                  <a:schemeClr val="bg1"/>
                </a:solidFill>
              </a:ln>
              <a:effectLst/>
            </c:spPr>
          </c:dPt>
          <c:dPt>
            <c:idx val="2"/>
            <c:bubble3D val="0"/>
            <c:spPr>
              <a:solidFill>
                <a:schemeClr val="accent3"/>
              </a:solidFill>
              <a:ln w="19050">
                <a:solidFill>
                  <a:schemeClr val="bg1"/>
                </a:solidFill>
              </a:ln>
              <a:effectLst/>
            </c:spPr>
          </c:dPt>
          <c:dPt>
            <c:idx val="3"/>
            <c:bubble3D val="0"/>
            <c:spPr>
              <a:solidFill>
                <a:srgbClr val="8FC965"/>
              </a:solidFill>
              <a:ln w="19050">
                <a:solidFill>
                  <a:schemeClr val="bg1"/>
                </a:solidFill>
              </a:ln>
              <a:effectLst/>
            </c:spPr>
          </c:dPt>
          <c:dPt>
            <c:idx val="4"/>
            <c:bubble3D val="0"/>
            <c:spPr>
              <a:solidFill>
                <a:srgbClr val="52D4C6"/>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美术统计!$B$18:$F$18</c:f>
              <c:numCache>
                <c:formatCode>General</c:formatCode>
                <c:ptCount val="5"/>
                <c:pt idx="0">
                  <c:v>6</c:v>
                </c:pt>
                <c:pt idx="1">
                  <c:v>8</c:v>
                </c:pt>
                <c:pt idx="2">
                  <c:v>35</c:v>
                </c:pt>
                <c:pt idx="3">
                  <c:v>39</c:v>
                </c:pt>
                <c:pt idx="4">
                  <c:v>30</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spc="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t>印象最深刻的故事章节</a:t>
            </a:r>
          </a:p>
        </c:rich>
      </c:tx>
      <c:layout/>
      <c:overlay val="0"/>
      <c:spPr>
        <a:noFill/>
        <a:ln>
          <a:noFill/>
        </a:ln>
        <a:effectLst/>
      </c:spPr>
    </c:title>
    <c:autoTitleDeleted val="0"/>
    <c:plotArea>
      <c:layout/>
      <c:doughnutChart>
        <c:varyColors val="1"/>
        <c:ser>
          <c:idx val="0"/>
          <c:order val="0"/>
          <c:spPr>
            <a:solidFill>
              <a:schemeClr val="accent1"/>
            </a:solidFill>
            <a:effectLst>
              <a:outerShdw blurRad="63500" sx="102000" sy="102000" algn="ctr" rotWithShape="0">
                <a:prstClr val="black">
                  <a:alpha val="40000"/>
                </a:prstClr>
              </a:outerShdw>
            </a:effectLst>
          </c:spPr>
          <c:explosion val="0"/>
          <c:dPt>
            <c:idx val="0"/>
            <c:bubble3D val="0"/>
            <c:explosion val="15"/>
            <c:spPr>
              <a:solidFill>
                <a:schemeClr val="accent1"/>
              </a:solidFill>
              <a:ln w="19050">
                <a:solidFill>
                  <a:schemeClr val="bg1"/>
                </a:solidFill>
              </a:ln>
              <a:effectLst>
                <a:outerShdw blurRad="63500" algn="ctr" rotWithShape="0">
                  <a:schemeClr val="accent1">
                    <a:lumMod val="75000"/>
                    <a:alpha val="100000"/>
                  </a:schemeClr>
                </a:outerShdw>
              </a:effectLst>
            </c:spPr>
          </c:dPt>
          <c:dPt>
            <c:idx val="1"/>
            <c:bubble3D val="0"/>
            <c:spPr>
              <a:solidFill>
                <a:schemeClr val="accent2"/>
              </a:solidFill>
              <a:ln w="19050">
                <a:solidFill>
                  <a:schemeClr val="bg1"/>
                </a:solidFill>
              </a:ln>
              <a:effectLst>
                <a:outerShdw blurRad="63500" algn="ctr" rotWithShape="0">
                  <a:schemeClr val="accent2">
                    <a:lumMod val="75000"/>
                    <a:alpha val="100000"/>
                  </a:schemeClr>
                </a:outerShdw>
              </a:effectLst>
            </c:spPr>
          </c:dPt>
          <c:dPt>
            <c:idx val="2"/>
            <c:bubble3D val="0"/>
            <c:spPr>
              <a:solidFill>
                <a:schemeClr val="accent3"/>
              </a:solidFill>
              <a:ln w="19050">
                <a:solidFill>
                  <a:schemeClr val="bg1"/>
                </a:solidFill>
              </a:ln>
              <a:effectLst>
                <a:outerShdw blurRad="63500" algn="ctr" rotWithShape="0">
                  <a:schemeClr val="accent3">
                    <a:lumMod val="75000"/>
                    <a:alpha val="100000"/>
                  </a:schemeClr>
                </a:outerShdw>
              </a:effectLst>
            </c:spPr>
          </c:dPt>
          <c:dPt>
            <c:idx val="3"/>
            <c:bubble3D val="0"/>
            <c:spPr>
              <a:solidFill>
                <a:schemeClr val="accent4"/>
              </a:solidFill>
              <a:ln w="19050">
                <a:solidFill>
                  <a:schemeClr val="bg1"/>
                </a:solidFill>
              </a:ln>
              <a:effectLst>
                <a:outerShdw blurRad="63500" algn="ctr" rotWithShape="0">
                  <a:schemeClr val="accent4">
                    <a:lumMod val="75000"/>
                    <a:alpha val="100000"/>
                  </a:schemeClr>
                </a:outerShdw>
              </a:effectLst>
            </c:spPr>
          </c:dPt>
          <c:dPt>
            <c:idx val="4"/>
            <c:bubble3D val="0"/>
            <c:spPr>
              <a:solidFill>
                <a:schemeClr val="accent5"/>
              </a:solidFill>
              <a:ln w="19050">
                <a:solidFill>
                  <a:schemeClr val="bg1"/>
                </a:solidFill>
              </a:ln>
              <a:effectLst>
                <a:outerShdw blurRad="63500" algn="ctr" rotWithShape="0">
                  <a:schemeClr val="accent5">
                    <a:lumMod val="75000"/>
                    <a:alpha val="100000"/>
                  </a:schemeClr>
                </a:outerShdw>
              </a:effectLst>
            </c:spPr>
          </c:dPt>
          <c:dLbls>
            <c:dLbl>
              <c:idx val="0"/>
              <c:layout>
                <c:manualLayout>
                  <c:x val="0.102631578947368"/>
                  <c:y val="-0.0798611111111111"/>
                </c:manualLayout>
              </c:layout>
              <c:numFmt formatCode="General" sourceLinked="1"/>
              <c:spPr>
                <a:solidFill>
                  <a:schemeClr val="lt1"/>
                </a:solidFill>
                <a:ln>
                  <a:solidFill>
                    <a:schemeClr val="accent1"/>
                  </a:solidFill>
                </a:ln>
                <a:effectLst/>
              </c:spPr>
              <c:txPr>
                <a:bodyPr rot="0" spcFirstLastPara="0" vertOverflow="clip" vert="horz" wrap="square" lIns="36576" tIns="18288" rIns="36576" bIns="18288" anchor="ctr" anchorCtr="1" forceAA="0"/>
                <a:lstStyle/>
                <a:p>
                  <a:pPr>
                    <a:defRPr lang="zh-CN" sz="900" b="1" i="0" u="none" strike="noStrike" kern="1200" baseline="0">
                      <a:solidFill>
                        <a:schemeClr val="accent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1"/>
              <c:layout>
                <c:manualLayout>
                  <c:x val="0.102631578947368"/>
                  <c:y val="-0.0138888888888889"/>
                </c:manualLayout>
              </c:layout>
              <c:numFmt formatCode="General" sourceLinked="1"/>
              <c:spPr>
                <a:solidFill>
                  <a:schemeClr val="lt1"/>
                </a:solidFill>
                <a:ln>
                  <a:solidFill>
                    <a:schemeClr val="accent2"/>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2"/>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2"/>
              <c:layout>
                <c:manualLayout>
                  <c:x val="0.0986842105263158"/>
                  <c:y val="0.0243055555555556"/>
                </c:manualLayout>
              </c:layout>
              <c:numFmt formatCode="General" sourceLinked="1"/>
              <c:spPr>
                <a:solidFill>
                  <a:schemeClr val="lt1"/>
                </a:solidFill>
                <a:ln>
                  <a:solidFill>
                    <a:schemeClr val="accent3"/>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3"/>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3"/>
              <c:layout>
                <c:manualLayout>
                  <c:x val="0.104605263157895"/>
                  <c:y val="0.100694444444444"/>
                </c:manualLayout>
              </c:layout>
              <c:numFmt formatCode="General" sourceLinked="1"/>
              <c:spPr>
                <a:solidFill>
                  <a:schemeClr val="lt1"/>
                </a:solidFill>
                <a:ln>
                  <a:solidFill>
                    <a:schemeClr val="accent4"/>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4"/>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4"/>
              <c:layout>
                <c:manualLayout>
                  <c:x val="0.0493421052631579"/>
                  <c:y val="0.11857740750094"/>
                </c:manualLayout>
              </c:layout>
              <c:numFmt formatCode="General" sourceLinked="1"/>
              <c:spPr>
                <a:solidFill>
                  <a:schemeClr val="lt1"/>
                </a:solidFill>
                <a:ln>
                  <a:solidFill>
                    <a:schemeClr val="accent5"/>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numFmt formatCode="General" sourceLinked="1"/>
            <c:spPr>
              <a:solidFill>
                <a:schemeClr val="lt1"/>
              </a:solidFill>
              <a:ln>
                <a:solidFill>
                  <a:schemeClr val="accent1"/>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layout/>
                <c15:showLeaderLines val="0"/>
                <c15:leaderLines>
                  <c:spPr>
                    <a:ln w="9525" cap="flat" cmpd="sng" algn="ctr">
                      <a:solidFill>
                        <a:schemeClr val="tx1">
                          <a:lumMod val="35000"/>
                          <a:lumOff val="65000"/>
                        </a:schemeClr>
                      </a:solidFill>
                      <a:round/>
                    </a:ln>
                    <a:effectLst/>
                  </c:spPr>
                </c15:leaderLines>
              </c:ext>
            </c:extLst>
          </c:dLbls>
          <c:cat>
            <c:strRef>
              <c:f>'反馈绘图（多选）'!$A$2:$A$6</c:f>
              <c:strCache>
                <c:ptCount val="5"/>
                <c:pt idx="0">
                  <c:v>皮埃尔章节古堡解谜</c:v>
                </c:pt>
                <c:pt idx="1">
                  <c:v>皮埃尔章节太空舞台</c:v>
                </c:pt>
                <c:pt idx="2">
                  <c:v>序章雨中城市</c:v>
                </c:pt>
                <c:pt idx="3">
                  <c:v>序章萨沙的家</c:v>
                </c:pt>
                <c:pt idx="4">
                  <c:v>皮埃尔章节森林小路</c:v>
                </c:pt>
              </c:strCache>
            </c:strRef>
          </c:cat>
          <c:val>
            <c:numRef>
              <c:f>'反馈绘图（多选）'!$B$2:$B$6</c:f>
              <c:numCache>
                <c:formatCode>General</c:formatCode>
                <c:ptCount val="5"/>
                <c:pt idx="0">
                  <c:v>11</c:v>
                </c:pt>
                <c:pt idx="1">
                  <c:v>14</c:v>
                </c:pt>
                <c:pt idx="2">
                  <c:v>9</c:v>
                </c:pt>
                <c:pt idx="3">
                  <c:v>15</c:v>
                </c:pt>
                <c:pt idx="4">
                  <c:v>11</c:v>
                </c:pt>
              </c:numCache>
            </c:numRef>
          </c:val>
        </c:ser>
        <c:dLbls>
          <c:showLegendKey val="0"/>
          <c:showVal val="1"/>
          <c:showCatName val="0"/>
          <c:showSerName val="0"/>
          <c:showPercent val="0"/>
          <c:showBubbleSize val="0"/>
          <c:showLeaderLines val="1"/>
        </c:dLbls>
        <c:firstSliceAng val="0"/>
        <c:holeSize val="63"/>
      </c:doughnutChart>
      <c:spPr>
        <a:noFill/>
        <a:ln>
          <a:noFill/>
        </a:ln>
        <a:effectLst/>
      </c:spPr>
    </c:plotArea>
    <c:legend>
      <c:legendPos val="r"/>
      <c:layout>
        <c:manualLayout>
          <c:xMode val="edge"/>
          <c:yMode val="edge"/>
          <c:x val="0.669805194805195"/>
          <c:y val="0.319206349206349"/>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chart>
  <c:spPr>
    <a:solidFill>
      <a:schemeClr val="bg1"/>
    </a:solidFill>
    <a:ln w="6350" cap="flat" cmpd="sng" algn="ctr">
      <a:solidFill>
        <a:schemeClr val="tx1">
          <a:lumMod val="50000"/>
          <a:lumOff val="50000"/>
          <a:alpha val="25000"/>
        </a:schemeClr>
      </a:solidFill>
      <a:round/>
    </a:ln>
    <a:effectLst>
      <a:outerShdw blurRad="63500" dist="37357" dir="2700000" sx="0" sy="0" rotWithShape="0">
        <a:scrgbClr r="0" g="0" b="0"/>
      </a:outerShdw>
    </a:effectLst>
  </c:spPr>
  <c:txPr>
    <a:bodyPr/>
    <a:lstStyle/>
    <a:p>
      <a:pPr>
        <a:defRPr lang="zh-CN" sz="90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spc="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lang="zh-CN" altLang="en-US"/>
              <a:t>最吸引的协作环节</a:t>
            </a:r>
            <a:endParaRPr lang="zh-CN" altLang="en-US"/>
          </a:p>
        </c:rich>
      </c:tx>
      <c:layout/>
      <c:overlay val="0"/>
      <c:spPr>
        <a:noFill/>
        <a:ln>
          <a:noFill/>
        </a:ln>
        <a:effectLst/>
      </c:spPr>
    </c:title>
    <c:autoTitleDeleted val="0"/>
    <c:plotArea>
      <c:layout/>
      <c:doughnutChart>
        <c:varyColors val="1"/>
        <c:ser>
          <c:idx val="0"/>
          <c:order val="0"/>
          <c:spPr>
            <a:solidFill>
              <a:schemeClr val="accent1"/>
            </a:solidFill>
            <a:effectLst>
              <a:outerShdw blurRad="63500" sx="102000" sy="102000" algn="ctr" rotWithShape="0">
                <a:prstClr val="black">
                  <a:alpha val="40000"/>
                </a:prstClr>
              </a:outerShdw>
            </a:effectLst>
          </c:spPr>
          <c:explosion val="0"/>
          <c:dPt>
            <c:idx val="0"/>
            <c:bubble3D val="0"/>
            <c:explosion val="15"/>
            <c:spPr>
              <a:solidFill>
                <a:schemeClr val="accent1"/>
              </a:solidFill>
              <a:ln w="19050">
                <a:solidFill>
                  <a:schemeClr val="bg1"/>
                </a:solidFill>
              </a:ln>
              <a:effectLst>
                <a:outerShdw blurRad="63500" algn="ctr" rotWithShape="0">
                  <a:schemeClr val="accent1">
                    <a:lumMod val="75000"/>
                    <a:alpha val="100000"/>
                  </a:schemeClr>
                </a:outerShdw>
              </a:effectLst>
            </c:spPr>
          </c:dPt>
          <c:dPt>
            <c:idx val="1"/>
            <c:bubble3D val="0"/>
            <c:spPr>
              <a:solidFill>
                <a:schemeClr val="accent2"/>
              </a:solidFill>
              <a:ln w="19050">
                <a:solidFill>
                  <a:schemeClr val="bg1"/>
                </a:solidFill>
              </a:ln>
              <a:effectLst>
                <a:outerShdw blurRad="63500" algn="ctr" rotWithShape="0">
                  <a:schemeClr val="accent2">
                    <a:lumMod val="75000"/>
                    <a:alpha val="100000"/>
                  </a:schemeClr>
                </a:outerShdw>
              </a:effectLst>
            </c:spPr>
          </c:dPt>
          <c:dPt>
            <c:idx val="2"/>
            <c:bubble3D val="0"/>
            <c:spPr>
              <a:solidFill>
                <a:schemeClr val="accent3"/>
              </a:solidFill>
              <a:ln w="19050">
                <a:solidFill>
                  <a:schemeClr val="bg1"/>
                </a:solidFill>
              </a:ln>
              <a:effectLst>
                <a:outerShdw blurRad="63500" algn="ctr" rotWithShape="0">
                  <a:schemeClr val="accent3">
                    <a:lumMod val="75000"/>
                    <a:alpha val="100000"/>
                  </a:schemeClr>
                </a:outerShdw>
              </a:effectLst>
            </c:spPr>
          </c:dPt>
          <c:dPt>
            <c:idx val="3"/>
            <c:bubble3D val="0"/>
            <c:spPr>
              <a:solidFill>
                <a:schemeClr val="accent4"/>
              </a:solidFill>
              <a:ln w="19050">
                <a:solidFill>
                  <a:schemeClr val="bg1"/>
                </a:solidFill>
              </a:ln>
              <a:effectLst>
                <a:outerShdw blurRad="63500" algn="ctr" rotWithShape="0">
                  <a:schemeClr val="accent4">
                    <a:lumMod val="75000"/>
                    <a:alpha val="100000"/>
                  </a:schemeClr>
                </a:outerShdw>
              </a:effectLst>
            </c:spPr>
          </c:dPt>
          <c:dPt>
            <c:idx val="4"/>
            <c:bubble3D val="0"/>
            <c:spPr>
              <a:solidFill>
                <a:schemeClr val="accent5"/>
              </a:solidFill>
              <a:ln w="19050">
                <a:solidFill>
                  <a:schemeClr val="bg1"/>
                </a:solidFill>
              </a:ln>
              <a:effectLst>
                <a:outerShdw blurRad="63500" algn="ctr" rotWithShape="0">
                  <a:schemeClr val="accent5">
                    <a:lumMod val="75000"/>
                    <a:alpha val="100000"/>
                  </a:schemeClr>
                </a:outerShdw>
              </a:effectLst>
            </c:spPr>
          </c:dPt>
          <c:dPt>
            <c:idx val="5"/>
            <c:bubble3D val="0"/>
            <c:spPr>
              <a:solidFill>
                <a:schemeClr val="accent1"/>
              </a:solidFill>
              <a:ln w="19050">
                <a:solidFill>
                  <a:schemeClr val="lt1"/>
                </a:solidFill>
              </a:ln>
              <a:effectLst>
                <a:outerShdw blurRad="63500" sx="102000" sy="102000" algn="ctr" rotWithShape="0">
                  <a:prstClr val="black">
                    <a:alpha val="40000"/>
                  </a:prstClr>
                </a:outerShdw>
              </a:effectLst>
            </c:spPr>
          </c:dPt>
          <c:dLbls>
            <c:dLbl>
              <c:idx val="0"/>
              <c:layout>
                <c:manualLayout>
                  <c:x val="0.102631578947368"/>
                  <c:y val="-0.0798611111111111"/>
                </c:manualLayout>
              </c:layout>
              <c:numFmt formatCode="General" sourceLinked="1"/>
              <c:spPr>
                <a:solidFill>
                  <a:schemeClr val="lt1"/>
                </a:solidFill>
                <a:ln>
                  <a:solidFill>
                    <a:schemeClr val="accent1"/>
                  </a:solidFill>
                </a:ln>
                <a:effectLst/>
              </c:spPr>
              <c:txPr>
                <a:bodyPr rot="0" spcFirstLastPara="0" vertOverflow="clip" vert="horz" wrap="square" lIns="36576" tIns="18288" rIns="36576" bIns="18288" anchor="ctr" anchorCtr="1" forceAA="0"/>
                <a:lstStyle/>
                <a:p>
                  <a:pPr>
                    <a:defRPr lang="zh-CN" sz="900" b="1" i="0" u="none" strike="noStrike" kern="1200" baseline="0">
                      <a:solidFill>
                        <a:schemeClr val="accent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1"/>
              <c:layout>
                <c:manualLayout>
                  <c:x val="0.102631578947368"/>
                  <c:y val="-0.0138888888888889"/>
                </c:manualLayout>
              </c:layout>
              <c:numFmt formatCode="General" sourceLinked="1"/>
              <c:spPr>
                <a:solidFill>
                  <a:schemeClr val="lt1"/>
                </a:solidFill>
                <a:ln>
                  <a:solidFill>
                    <a:schemeClr val="accent2"/>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2"/>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2"/>
              <c:layout>
                <c:manualLayout>
                  <c:x val="0.0986842105263158"/>
                  <c:y val="0.0243055555555556"/>
                </c:manualLayout>
              </c:layout>
              <c:numFmt formatCode="General" sourceLinked="1"/>
              <c:spPr>
                <a:solidFill>
                  <a:schemeClr val="lt1"/>
                </a:solidFill>
                <a:ln>
                  <a:solidFill>
                    <a:schemeClr val="accent3"/>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3"/>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3"/>
              <c:layout>
                <c:manualLayout>
                  <c:x val="0.104605263157895"/>
                  <c:y val="0.100694444444444"/>
                </c:manualLayout>
              </c:layout>
              <c:numFmt formatCode="General" sourceLinked="1"/>
              <c:spPr>
                <a:solidFill>
                  <a:schemeClr val="lt1"/>
                </a:solidFill>
                <a:ln>
                  <a:solidFill>
                    <a:schemeClr val="accent4"/>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4"/>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4"/>
              <c:layout>
                <c:manualLayout>
                  <c:x val="0.0493421052631579"/>
                  <c:y val="0.11857740750094"/>
                </c:manualLayout>
              </c:layout>
              <c:numFmt formatCode="General" sourceLinked="1"/>
              <c:spPr>
                <a:solidFill>
                  <a:schemeClr val="lt1"/>
                </a:solidFill>
                <a:ln>
                  <a:solidFill>
                    <a:schemeClr val="accent5"/>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5"/>
              <c:layout/>
              <c:numFmt formatCode="General" sourceLinked="1"/>
              <c:spPr>
                <a:solidFill>
                  <a:schemeClr val="lt1"/>
                </a:solidFill>
                <a:ln>
                  <a:solidFill>
                    <a:schemeClr val="accent1"/>
                  </a:solidFill>
                </a:ln>
                <a:effectLst/>
              </c:spPr>
              <c:txPr>
                <a:bodyPr rot="0" spcFirstLastPara="0" vertOverflow="clip" vert="horz" wrap="square" lIns="36576" tIns="18288" rIns="36576" bIns="18288" anchor="ctr" anchorCtr="1"/>
                <a:lstStyle/>
                <a:p>
                  <a:pPr>
                    <a:defRPr lang="zh-CN" sz="900" b="1"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extLst>
            </c:dLbl>
            <c:numFmt formatCode="General" sourceLinked="1"/>
            <c:spPr>
              <a:solidFill>
                <a:schemeClr val="lt1"/>
              </a:solidFill>
              <a:ln>
                <a:solidFill>
                  <a:schemeClr val="accent1"/>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layout/>
                <c15:showLeaderLines val="0"/>
                <c15:leaderLines>
                  <c:spPr>
                    <a:ln w="9525" cap="flat" cmpd="sng" algn="ctr">
                      <a:solidFill>
                        <a:schemeClr val="tx1">
                          <a:lumMod val="35000"/>
                          <a:lumOff val="65000"/>
                        </a:schemeClr>
                      </a:solidFill>
                      <a:round/>
                    </a:ln>
                    <a:effectLst/>
                  </c:spPr>
                </c15:leaderLines>
              </c:ext>
            </c:extLst>
          </c:dLbls>
          <c:cat>
            <c:strRef>
              <c:f>'反馈绘图（多选）'!$A$7:$A$12</c:f>
              <c:strCache>
                <c:ptCount val="6"/>
                <c:pt idx="0">
                  <c:v>双人线索拼合</c:v>
                </c:pt>
                <c:pt idx="1">
                  <c:v>古堡机关同步</c:v>
                </c:pt>
                <c:pt idx="2">
                  <c:v>跨媒介联动</c:v>
                </c:pt>
                <c:pt idx="3">
                  <c:v>3D叙事交互</c:v>
                </c:pt>
                <c:pt idx="4">
                  <c:v>具身交互操作</c:v>
                </c:pt>
                <c:pt idx="5">
                  <c:v>黑板绘画共创</c:v>
                </c:pt>
              </c:strCache>
            </c:strRef>
          </c:cat>
          <c:val>
            <c:numRef>
              <c:f>'反馈绘图（多选）'!$B$7:$B$12</c:f>
              <c:numCache>
                <c:formatCode>General</c:formatCode>
                <c:ptCount val="6"/>
                <c:pt idx="0">
                  <c:v>20</c:v>
                </c:pt>
                <c:pt idx="1">
                  <c:v>19</c:v>
                </c:pt>
                <c:pt idx="2">
                  <c:v>11</c:v>
                </c:pt>
                <c:pt idx="3">
                  <c:v>14</c:v>
                </c:pt>
                <c:pt idx="4">
                  <c:v>14</c:v>
                </c:pt>
                <c:pt idx="5">
                  <c:v>7</c:v>
                </c:pt>
              </c:numCache>
            </c:numRef>
          </c:val>
        </c:ser>
        <c:dLbls>
          <c:showLegendKey val="0"/>
          <c:showVal val="1"/>
          <c:showCatName val="0"/>
          <c:showSerName val="0"/>
          <c:showPercent val="0"/>
          <c:showBubbleSize val="0"/>
          <c:showLeaderLines val="1"/>
        </c:dLbls>
        <c:firstSliceAng val="0"/>
        <c:holeSize val="63"/>
      </c:doughnut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extLst>
      <c:ext uri="{0b15fc19-7d7d-44ad-8c2d-2c3a37ce22c3}">
        <chartProps xmlns="https://web.wps.cn/et/2018/main" chartId="{8bcb81f3-4fb4-4d06-b60a-d643f1722173}"/>
      </c:ext>
    </c:extLst>
  </c:chart>
  <c:spPr>
    <a:solidFill>
      <a:schemeClr val="bg1"/>
    </a:solidFill>
    <a:ln w="6350" cap="flat" cmpd="sng" algn="ctr">
      <a:solidFill>
        <a:schemeClr val="tx1">
          <a:lumMod val="50000"/>
          <a:lumOff val="50000"/>
          <a:alpha val="25000"/>
        </a:schemeClr>
      </a:solidFill>
      <a:round/>
    </a:ln>
    <a:effectLst>
      <a:outerShdw blurRad="63500" dist="37357" dir="2700000" sx="0" sy="0" rotWithShape="0">
        <a:scrgbClr r="0" g="0" b="0"/>
      </a:outerShdw>
    </a:effectLst>
  </c:spPr>
  <c:txPr>
    <a:bodyPr/>
    <a:lstStyle/>
    <a:p>
      <a:pPr>
        <a:defRPr lang="zh-CN" sz="90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spc="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lang="zh-CN" altLang="en-US"/>
              <a:t>之前从未</a:t>
            </a:r>
            <a:r>
              <a:rPr lang="en-US" altLang="zh-CN"/>
              <a:t>/</a:t>
            </a:r>
            <a:r>
              <a:rPr altLang="en-US"/>
              <a:t>很少体验</a:t>
            </a:r>
            <a:r>
              <a:rPr lang="en-US" altLang="zh-CN"/>
              <a:t>VR</a:t>
            </a:r>
            <a:r>
              <a:rPr altLang="en-US"/>
              <a:t>的原因</a:t>
            </a:r>
            <a:endParaRPr lang="en-US" altLang="zh-CN"/>
          </a:p>
        </c:rich>
      </c:tx>
      <c:layout/>
      <c:overlay val="0"/>
      <c:spPr>
        <a:noFill/>
        <a:ln>
          <a:noFill/>
        </a:ln>
        <a:effectLst/>
      </c:spPr>
    </c:title>
    <c:autoTitleDeleted val="0"/>
    <c:plotArea>
      <c:layout/>
      <c:doughnutChart>
        <c:varyColors val="1"/>
        <c:ser>
          <c:idx val="0"/>
          <c:order val="0"/>
          <c:spPr>
            <a:solidFill>
              <a:schemeClr val="accent1"/>
            </a:solidFill>
            <a:effectLst>
              <a:outerShdw blurRad="63500" sx="102000" sy="102000" algn="ctr" rotWithShape="0">
                <a:prstClr val="black">
                  <a:alpha val="40000"/>
                </a:prstClr>
              </a:outerShdw>
            </a:effectLst>
          </c:spPr>
          <c:explosion val="0"/>
          <c:dPt>
            <c:idx val="0"/>
            <c:bubble3D val="0"/>
            <c:explosion val="15"/>
            <c:spPr>
              <a:solidFill>
                <a:schemeClr val="accent1"/>
              </a:solidFill>
              <a:ln w="19050">
                <a:solidFill>
                  <a:schemeClr val="bg1"/>
                </a:solidFill>
              </a:ln>
              <a:effectLst>
                <a:outerShdw blurRad="63500" algn="ctr" rotWithShape="0">
                  <a:schemeClr val="accent1">
                    <a:lumMod val="75000"/>
                    <a:alpha val="100000"/>
                  </a:schemeClr>
                </a:outerShdw>
              </a:effectLst>
            </c:spPr>
          </c:dPt>
          <c:dPt>
            <c:idx val="1"/>
            <c:bubble3D val="0"/>
            <c:spPr>
              <a:solidFill>
                <a:schemeClr val="accent2"/>
              </a:solidFill>
              <a:ln w="19050">
                <a:solidFill>
                  <a:schemeClr val="bg1"/>
                </a:solidFill>
              </a:ln>
              <a:effectLst>
                <a:outerShdw blurRad="63500" algn="ctr" rotWithShape="0">
                  <a:schemeClr val="accent2">
                    <a:lumMod val="75000"/>
                    <a:alpha val="100000"/>
                  </a:schemeClr>
                </a:outerShdw>
              </a:effectLst>
            </c:spPr>
          </c:dPt>
          <c:dPt>
            <c:idx val="2"/>
            <c:bubble3D val="0"/>
            <c:spPr>
              <a:solidFill>
                <a:schemeClr val="accent3"/>
              </a:solidFill>
              <a:ln w="19050">
                <a:solidFill>
                  <a:schemeClr val="bg1"/>
                </a:solidFill>
              </a:ln>
              <a:effectLst>
                <a:outerShdw blurRad="63500" algn="ctr" rotWithShape="0">
                  <a:schemeClr val="accent3">
                    <a:lumMod val="75000"/>
                    <a:alpha val="100000"/>
                  </a:schemeClr>
                </a:outerShdw>
              </a:effectLst>
            </c:spPr>
          </c:dPt>
          <c:dPt>
            <c:idx val="3"/>
            <c:bubble3D val="0"/>
            <c:spPr>
              <a:solidFill>
                <a:schemeClr val="accent4"/>
              </a:solidFill>
              <a:ln w="19050">
                <a:solidFill>
                  <a:schemeClr val="bg1"/>
                </a:solidFill>
              </a:ln>
              <a:effectLst>
                <a:outerShdw blurRad="63500" algn="ctr" rotWithShape="0">
                  <a:schemeClr val="accent4">
                    <a:lumMod val="75000"/>
                    <a:alpha val="100000"/>
                  </a:schemeClr>
                </a:outerShdw>
              </a:effectLst>
            </c:spPr>
          </c:dPt>
          <c:dPt>
            <c:idx val="4"/>
            <c:bubble3D val="0"/>
            <c:spPr>
              <a:solidFill>
                <a:schemeClr val="accent5"/>
              </a:solidFill>
              <a:ln w="19050">
                <a:solidFill>
                  <a:schemeClr val="bg1"/>
                </a:solidFill>
              </a:ln>
              <a:effectLst>
                <a:outerShdw blurRad="63500" algn="ctr" rotWithShape="0">
                  <a:schemeClr val="accent5">
                    <a:lumMod val="75000"/>
                    <a:alpha val="100000"/>
                  </a:schemeClr>
                </a:outerShdw>
              </a:effectLst>
            </c:spPr>
          </c:dPt>
          <c:dPt>
            <c:idx val="5"/>
            <c:bubble3D val="0"/>
            <c:spPr>
              <a:solidFill>
                <a:schemeClr val="accent1"/>
              </a:solidFill>
              <a:ln w="19050">
                <a:solidFill>
                  <a:schemeClr val="lt1"/>
                </a:solidFill>
              </a:ln>
              <a:effectLst>
                <a:outerShdw blurRad="63500" sx="102000" sy="102000" algn="ctr" rotWithShape="0">
                  <a:prstClr val="black">
                    <a:alpha val="40000"/>
                  </a:prstClr>
                </a:outerShdw>
              </a:effectLst>
            </c:spPr>
          </c:dPt>
          <c:dLbls>
            <c:dLbl>
              <c:idx val="0"/>
              <c:layout>
                <c:manualLayout>
                  <c:x val="0.102631578947368"/>
                  <c:y val="-0.0798611111111111"/>
                </c:manualLayout>
              </c:layout>
              <c:numFmt formatCode="General" sourceLinked="1"/>
              <c:spPr>
                <a:solidFill>
                  <a:schemeClr val="lt1"/>
                </a:solidFill>
                <a:ln>
                  <a:solidFill>
                    <a:schemeClr val="accent1"/>
                  </a:solidFill>
                </a:ln>
                <a:effectLst/>
              </c:spPr>
              <c:txPr>
                <a:bodyPr rot="0" spcFirstLastPara="0" vertOverflow="clip" vert="horz" wrap="square" lIns="36576" tIns="18288" rIns="36576" bIns="18288" anchor="ctr" anchorCtr="1" forceAA="0"/>
                <a:lstStyle/>
                <a:p>
                  <a:pPr>
                    <a:defRPr lang="zh-CN" sz="900" b="1" i="0" u="none" strike="noStrike" kern="1200" baseline="0">
                      <a:solidFill>
                        <a:schemeClr val="accent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1"/>
              <c:layout>
                <c:manualLayout>
                  <c:x val="0.102631578947368"/>
                  <c:y val="-0.0138888888888889"/>
                </c:manualLayout>
              </c:layout>
              <c:numFmt formatCode="General" sourceLinked="1"/>
              <c:spPr>
                <a:solidFill>
                  <a:schemeClr val="lt1"/>
                </a:solidFill>
                <a:ln>
                  <a:solidFill>
                    <a:schemeClr val="accent2"/>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2"/>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2"/>
              <c:layout>
                <c:manualLayout>
                  <c:x val="0.0986842105263158"/>
                  <c:y val="0.0243055555555556"/>
                </c:manualLayout>
              </c:layout>
              <c:numFmt formatCode="General" sourceLinked="1"/>
              <c:spPr>
                <a:solidFill>
                  <a:schemeClr val="lt1"/>
                </a:solidFill>
                <a:ln>
                  <a:solidFill>
                    <a:schemeClr val="accent3"/>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3"/>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3"/>
              <c:layout>
                <c:manualLayout>
                  <c:x val="0.104605263157895"/>
                  <c:y val="0.100694444444444"/>
                </c:manualLayout>
              </c:layout>
              <c:numFmt formatCode="General" sourceLinked="1"/>
              <c:spPr>
                <a:solidFill>
                  <a:schemeClr val="lt1"/>
                </a:solidFill>
                <a:ln>
                  <a:solidFill>
                    <a:schemeClr val="accent4"/>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4"/>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4"/>
              <c:layout>
                <c:manualLayout>
                  <c:x val="0.0493421052631579"/>
                  <c:y val="0.11857740750094"/>
                </c:manualLayout>
              </c:layout>
              <c:numFmt formatCode="General" sourceLinked="1"/>
              <c:spPr>
                <a:solidFill>
                  <a:schemeClr val="lt1"/>
                </a:solidFill>
                <a:ln>
                  <a:solidFill>
                    <a:schemeClr val="accent5"/>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5"/>
              <c:layout/>
              <c:numFmt formatCode="General" sourceLinked="1"/>
              <c:spPr>
                <a:solidFill>
                  <a:schemeClr val="lt1"/>
                </a:solidFill>
                <a:ln>
                  <a:solidFill>
                    <a:schemeClr val="accent1"/>
                  </a:solidFill>
                </a:ln>
                <a:effectLst/>
              </c:spPr>
              <c:txPr>
                <a:bodyPr rot="0" spcFirstLastPara="0" vertOverflow="clip" vert="horz" wrap="square" lIns="36576" tIns="18288" rIns="36576" bIns="18288" anchor="ctr" anchorCtr="1"/>
                <a:lstStyle/>
                <a:p>
                  <a:pPr>
                    <a:defRPr lang="zh-CN" sz="900" b="1"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extLst>
            </c:dLbl>
            <c:numFmt formatCode="General" sourceLinked="1"/>
            <c:spPr>
              <a:solidFill>
                <a:schemeClr val="lt1"/>
              </a:solidFill>
              <a:ln>
                <a:solidFill>
                  <a:schemeClr val="accent1"/>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layout/>
                <c15:showLeaderLines val="0"/>
                <c15:leaderLines>
                  <c:spPr>
                    <a:ln w="9525" cap="flat" cmpd="sng" algn="ctr">
                      <a:solidFill>
                        <a:schemeClr val="tx1">
                          <a:lumMod val="35000"/>
                          <a:lumOff val="65000"/>
                        </a:schemeClr>
                      </a:solidFill>
                      <a:round/>
                    </a:ln>
                    <a:effectLst/>
                  </c:spPr>
                </c15:leaderLines>
              </c:ext>
            </c:extLst>
          </c:dLbls>
          <c:cat>
            <c:strRef>
              <c:f>'反馈绘图（多选）'!$A$13:$A$18</c:f>
              <c:strCache>
                <c:ptCount val="6"/>
                <c:pt idx="0">
                  <c:v>担心头晕不适</c:v>
                </c:pt>
                <c:pt idx="1">
                  <c:v>公共场合不自在</c:v>
                </c:pt>
                <c:pt idx="2">
                  <c:v>设备门槛高</c:v>
                </c:pt>
                <c:pt idx="3">
                  <c:v>内容单调无聊</c:v>
                </c:pt>
                <c:pt idx="4">
                  <c:v>空闲时间不足</c:v>
                </c:pt>
                <c:pt idx="5">
                  <c:v>价格高无渠道</c:v>
                </c:pt>
              </c:strCache>
            </c:strRef>
          </c:cat>
          <c:val>
            <c:numRef>
              <c:f>'反馈绘图（多选）'!$B$13:$B$18</c:f>
              <c:numCache>
                <c:formatCode>General</c:formatCode>
                <c:ptCount val="6"/>
                <c:pt idx="0">
                  <c:v>18</c:v>
                </c:pt>
                <c:pt idx="1">
                  <c:v>18</c:v>
                </c:pt>
                <c:pt idx="2">
                  <c:v>8</c:v>
                </c:pt>
                <c:pt idx="3">
                  <c:v>9</c:v>
                </c:pt>
                <c:pt idx="4">
                  <c:v>6</c:v>
                </c:pt>
                <c:pt idx="5">
                  <c:v>7</c:v>
                </c:pt>
              </c:numCache>
            </c:numRef>
          </c:val>
        </c:ser>
        <c:dLbls>
          <c:showLegendKey val="0"/>
          <c:showVal val="1"/>
          <c:showCatName val="0"/>
          <c:showSerName val="0"/>
          <c:showPercent val="0"/>
          <c:showBubbleSize val="0"/>
          <c:showLeaderLines val="1"/>
        </c:dLbls>
        <c:firstSliceAng val="0"/>
        <c:holeSize val="63"/>
      </c:doughnut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extLst>
      <c:ext uri="{0b15fc19-7d7d-44ad-8c2d-2c3a37ce22c3}">
        <chartProps xmlns="https://web.wps.cn/et/2018/main" chartId="{8bcb81f3-4fb4-4d06-b60a-d643f1722173}"/>
      </c:ext>
    </c:extLst>
  </c:chart>
  <c:spPr>
    <a:solidFill>
      <a:schemeClr val="bg1"/>
    </a:solidFill>
    <a:ln w="6350" cap="flat" cmpd="sng" algn="ctr">
      <a:solidFill>
        <a:schemeClr val="tx1">
          <a:lumMod val="50000"/>
          <a:lumOff val="50000"/>
          <a:alpha val="25000"/>
        </a:schemeClr>
      </a:solidFill>
      <a:round/>
    </a:ln>
    <a:effectLst>
      <a:outerShdw blurRad="63500" dist="37357" dir="2700000" sx="0" sy="0" rotWithShape="0">
        <a:scrgbClr r="0" g="0" b="0"/>
      </a:outerShdw>
    </a:effectLst>
  </c:spPr>
  <c:txPr>
    <a:bodyPr/>
    <a:lstStyle/>
    <a:p>
      <a:pPr>
        <a:defRPr lang="zh-CN" sz="90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spc="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lang="zh-CN" altLang="en-US"/>
              <a:t>之前从未</a:t>
            </a:r>
            <a:r>
              <a:rPr lang="en-US" altLang="zh-CN"/>
              <a:t>/</a:t>
            </a:r>
            <a:r>
              <a:rPr altLang="en-US"/>
              <a:t>很少体验</a:t>
            </a:r>
            <a:r>
              <a:rPr lang="en-US" altLang="zh-CN"/>
              <a:t>VR</a:t>
            </a:r>
            <a:r>
              <a:rPr altLang="en-US"/>
              <a:t>的原因</a:t>
            </a:r>
            <a:endParaRPr lang="en-US" altLang="zh-CN"/>
          </a:p>
        </c:rich>
      </c:tx>
      <c:layout/>
      <c:overlay val="0"/>
      <c:spPr>
        <a:noFill/>
        <a:ln>
          <a:noFill/>
        </a:ln>
        <a:effectLst/>
      </c:spPr>
    </c:title>
    <c:autoTitleDeleted val="0"/>
    <c:plotArea>
      <c:layout/>
      <c:doughnutChart>
        <c:varyColors val="1"/>
        <c:ser>
          <c:idx val="0"/>
          <c:order val="0"/>
          <c:spPr>
            <a:solidFill>
              <a:schemeClr val="accent1"/>
            </a:solidFill>
            <a:effectLst>
              <a:outerShdw blurRad="63500" sx="102000" sy="102000" algn="ctr" rotWithShape="0">
                <a:prstClr val="black">
                  <a:alpha val="40000"/>
                </a:prstClr>
              </a:outerShdw>
            </a:effectLst>
          </c:spPr>
          <c:explosion val="0"/>
          <c:dPt>
            <c:idx val="0"/>
            <c:bubble3D val="0"/>
            <c:explosion val="15"/>
            <c:spPr>
              <a:solidFill>
                <a:schemeClr val="accent1"/>
              </a:solidFill>
              <a:ln w="19050">
                <a:solidFill>
                  <a:schemeClr val="bg1"/>
                </a:solidFill>
              </a:ln>
              <a:effectLst>
                <a:outerShdw blurRad="63500" algn="ctr" rotWithShape="0">
                  <a:schemeClr val="accent1">
                    <a:lumMod val="75000"/>
                    <a:alpha val="100000"/>
                  </a:schemeClr>
                </a:outerShdw>
              </a:effectLst>
            </c:spPr>
          </c:dPt>
          <c:dPt>
            <c:idx val="1"/>
            <c:bubble3D val="0"/>
            <c:spPr>
              <a:solidFill>
                <a:schemeClr val="accent2"/>
              </a:solidFill>
              <a:ln w="19050">
                <a:solidFill>
                  <a:schemeClr val="bg1"/>
                </a:solidFill>
              </a:ln>
              <a:effectLst>
                <a:outerShdw blurRad="63500" algn="ctr" rotWithShape="0">
                  <a:schemeClr val="accent2">
                    <a:lumMod val="75000"/>
                    <a:alpha val="100000"/>
                  </a:schemeClr>
                </a:outerShdw>
              </a:effectLst>
            </c:spPr>
          </c:dPt>
          <c:dPt>
            <c:idx val="2"/>
            <c:bubble3D val="0"/>
            <c:spPr>
              <a:solidFill>
                <a:schemeClr val="accent3"/>
              </a:solidFill>
              <a:ln w="19050">
                <a:solidFill>
                  <a:schemeClr val="bg1"/>
                </a:solidFill>
              </a:ln>
              <a:effectLst>
                <a:outerShdw blurRad="63500" algn="ctr" rotWithShape="0">
                  <a:schemeClr val="accent3">
                    <a:lumMod val="75000"/>
                    <a:alpha val="100000"/>
                  </a:schemeClr>
                </a:outerShdw>
              </a:effectLst>
            </c:spPr>
          </c:dPt>
          <c:dPt>
            <c:idx val="3"/>
            <c:bubble3D val="0"/>
            <c:spPr>
              <a:solidFill>
                <a:schemeClr val="accent4"/>
              </a:solidFill>
              <a:ln w="19050">
                <a:solidFill>
                  <a:schemeClr val="bg1"/>
                </a:solidFill>
              </a:ln>
              <a:effectLst>
                <a:outerShdw blurRad="63500" algn="ctr" rotWithShape="0">
                  <a:schemeClr val="accent4">
                    <a:lumMod val="75000"/>
                    <a:alpha val="100000"/>
                  </a:schemeClr>
                </a:outerShdw>
              </a:effectLst>
            </c:spPr>
          </c:dPt>
          <c:dPt>
            <c:idx val="4"/>
            <c:bubble3D val="0"/>
            <c:spPr>
              <a:solidFill>
                <a:schemeClr val="accent5"/>
              </a:solidFill>
              <a:ln w="19050">
                <a:solidFill>
                  <a:schemeClr val="bg1"/>
                </a:solidFill>
              </a:ln>
              <a:effectLst>
                <a:outerShdw blurRad="63500" algn="ctr" rotWithShape="0">
                  <a:schemeClr val="accent5">
                    <a:lumMod val="75000"/>
                    <a:alpha val="100000"/>
                  </a:schemeClr>
                </a:outerShdw>
              </a:effectLst>
            </c:spPr>
          </c:dPt>
          <c:dPt>
            <c:idx val="5"/>
            <c:bubble3D val="0"/>
            <c:spPr>
              <a:solidFill>
                <a:schemeClr val="accent1"/>
              </a:solidFill>
              <a:ln w="19050">
                <a:solidFill>
                  <a:schemeClr val="lt1"/>
                </a:solidFill>
              </a:ln>
              <a:effectLst>
                <a:outerShdw blurRad="63500" sx="102000" sy="102000" algn="ctr" rotWithShape="0">
                  <a:prstClr val="black">
                    <a:alpha val="40000"/>
                  </a:prstClr>
                </a:outerShdw>
              </a:effectLst>
            </c:spPr>
          </c:dPt>
          <c:dLbls>
            <c:dLbl>
              <c:idx val="0"/>
              <c:layout>
                <c:manualLayout>
                  <c:x val="0.102631578947368"/>
                  <c:y val="-0.0798611111111111"/>
                </c:manualLayout>
              </c:layout>
              <c:numFmt formatCode="General" sourceLinked="1"/>
              <c:spPr>
                <a:solidFill>
                  <a:schemeClr val="lt1"/>
                </a:solidFill>
                <a:ln>
                  <a:solidFill>
                    <a:schemeClr val="accent1"/>
                  </a:solidFill>
                </a:ln>
                <a:effectLst/>
              </c:spPr>
              <c:txPr>
                <a:bodyPr rot="0" spcFirstLastPara="0" vertOverflow="clip" vert="horz" wrap="square" lIns="36576" tIns="18288" rIns="36576" bIns="18288" anchor="ctr" anchorCtr="1" forceAA="0"/>
                <a:lstStyle/>
                <a:p>
                  <a:pPr>
                    <a:defRPr lang="zh-CN" sz="900" b="1" i="0" u="none" strike="noStrike" kern="1200" baseline="0">
                      <a:solidFill>
                        <a:schemeClr val="accent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1"/>
              <c:layout>
                <c:manualLayout>
                  <c:x val="0.102631578947368"/>
                  <c:y val="-0.0138888888888889"/>
                </c:manualLayout>
              </c:layout>
              <c:numFmt formatCode="General" sourceLinked="1"/>
              <c:spPr>
                <a:solidFill>
                  <a:schemeClr val="lt1"/>
                </a:solidFill>
                <a:ln>
                  <a:solidFill>
                    <a:schemeClr val="accent2"/>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2"/>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2"/>
              <c:layout>
                <c:manualLayout>
                  <c:x val="0.0986842105263158"/>
                  <c:y val="0.0243055555555556"/>
                </c:manualLayout>
              </c:layout>
              <c:numFmt formatCode="General" sourceLinked="1"/>
              <c:spPr>
                <a:solidFill>
                  <a:schemeClr val="lt1"/>
                </a:solidFill>
                <a:ln>
                  <a:solidFill>
                    <a:schemeClr val="accent3"/>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3"/>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3"/>
              <c:layout>
                <c:manualLayout>
                  <c:x val="0.104605263157895"/>
                  <c:y val="0.100694444444444"/>
                </c:manualLayout>
              </c:layout>
              <c:numFmt formatCode="General" sourceLinked="1"/>
              <c:spPr>
                <a:solidFill>
                  <a:schemeClr val="lt1"/>
                </a:solidFill>
                <a:ln>
                  <a:solidFill>
                    <a:schemeClr val="accent4"/>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4"/>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4"/>
              <c:layout>
                <c:manualLayout>
                  <c:x val="0.0493421052631579"/>
                  <c:y val="0.11857740750094"/>
                </c:manualLayout>
              </c:layout>
              <c:numFmt formatCode="General" sourceLinked="1"/>
              <c:spPr>
                <a:solidFill>
                  <a:schemeClr val="lt1"/>
                </a:solidFill>
                <a:ln>
                  <a:solidFill>
                    <a:schemeClr val="accent5"/>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5"/>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15:layout>
                    <c:manualLayout>
                      <c:w val="0.0716102362204724"/>
                      <c:h val="0.094753937007874"/>
                    </c:manualLayout>
                  </c15:layout>
                </c:ext>
              </c:extLst>
            </c:dLbl>
            <c:dLbl>
              <c:idx val="5"/>
              <c:layout/>
              <c:numFmt formatCode="General" sourceLinked="1"/>
              <c:spPr>
                <a:solidFill>
                  <a:schemeClr val="lt1"/>
                </a:solidFill>
                <a:ln>
                  <a:solidFill>
                    <a:schemeClr val="accent1"/>
                  </a:solidFill>
                </a:ln>
                <a:effectLst/>
              </c:spPr>
              <c:txPr>
                <a:bodyPr rot="0" spcFirstLastPara="0" vertOverflow="clip" vert="horz" wrap="square" lIns="36576" tIns="18288" rIns="36576" bIns="18288" anchor="ctr" anchorCtr="1"/>
                <a:lstStyle/>
                <a:p>
                  <a:pPr>
                    <a:defRPr lang="zh-CN" sz="900" b="1"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extLst>
                <c:ext xmlns:c15="http://schemas.microsoft.com/office/drawing/2012/chart" uri="{CE6537A1-D6FC-4f65-9D91-7224C49458BB}"/>
              </c:extLst>
            </c:dLbl>
            <c:numFmt formatCode="General" sourceLinked="1"/>
            <c:spPr>
              <a:solidFill>
                <a:schemeClr val="lt1"/>
              </a:solidFill>
              <a:ln>
                <a:solidFill>
                  <a:schemeClr val="accent1"/>
                </a:solidFill>
              </a:ln>
              <a:effectLst/>
            </c:spPr>
            <c:txPr>
              <a:bodyPr rot="0" spcFirstLastPara="0" vertOverflow="clip" horzOverflow="clip" vert="horz" wrap="square" lIns="36576" tIns="18288" rIns="36576" bIns="18288" anchor="ctr" anchorCtr="1" forceAA="0">
                <a:noAutofit/>
              </a:bodyPr>
              <a:lstStyle/>
              <a:p>
                <a:pPr>
                  <a:defRPr lang="zh-CN" sz="900" b="1" i="0" u="none" strike="noStrike" kern="1200" baseline="0">
                    <a:solidFill>
                      <a:schemeClr val="accent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layout/>
                <c15:showLeaderLines val="0"/>
                <c15:leaderLines>
                  <c:spPr>
                    <a:ln w="9525" cap="flat" cmpd="sng" algn="ctr">
                      <a:solidFill>
                        <a:schemeClr val="tx1">
                          <a:lumMod val="35000"/>
                          <a:lumOff val="65000"/>
                        </a:schemeClr>
                      </a:solidFill>
                      <a:round/>
                    </a:ln>
                    <a:effectLst/>
                  </c:spPr>
                </c15:leaderLines>
              </c:ext>
            </c:extLst>
          </c:dLbls>
          <c:cat>
            <c:strRef>
              <c:f>'反馈绘图（多选）'!$A$19:$A$24</c:f>
              <c:strCache>
                <c:ptCount val="6"/>
                <c:pt idx="0">
                  <c:v>围观人数多</c:v>
                </c:pt>
                <c:pt idx="1">
                  <c:v>设备陈旧不卫生</c:v>
                </c:pt>
                <c:pt idx="2">
                  <c:v>环境闷热嘈杂</c:v>
                </c:pt>
                <c:pt idx="3">
                  <c:v>无工作人员引导</c:v>
                </c:pt>
                <c:pt idx="4">
                  <c:v>穿着不便</c:v>
                </c:pt>
                <c:pt idx="5">
                  <c:v>体验时长过长</c:v>
                </c:pt>
              </c:strCache>
            </c:strRef>
          </c:cat>
          <c:val>
            <c:numRef>
              <c:f>'反馈绘图（多选）'!$B$19:$B$24</c:f>
              <c:numCache>
                <c:formatCode>General</c:formatCode>
                <c:ptCount val="6"/>
                <c:pt idx="0">
                  <c:v>18</c:v>
                </c:pt>
                <c:pt idx="1">
                  <c:v>18</c:v>
                </c:pt>
                <c:pt idx="2">
                  <c:v>14</c:v>
                </c:pt>
                <c:pt idx="3">
                  <c:v>7</c:v>
                </c:pt>
                <c:pt idx="4">
                  <c:v>11</c:v>
                </c:pt>
                <c:pt idx="5">
                  <c:v>10</c:v>
                </c:pt>
              </c:numCache>
            </c:numRef>
          </c:val>
        </c:ser>
        <c:dLbls>
          <c:showLegendKey val="0"/>
          <c:showVal val="1"/>
          <c:showCatName val="0"/>
          <c:showSerName val="0"/>
          <c:showPercent val="0"/>
          <c:showBubbleSize val="0"/>
          <c:showLeaderLines val="1"/>
        </c:dLbls>
        <c:firstSliceAng val="0"/>
        <c:holeSize val="63"/>
      </c:doughnut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extLst>
      <c:ext uri="{0b15fc19-7d7d-44ad-8c2d-2c3a37ce22c3}">
        <chartProps xmlns="https://web.wps.cn/et/2018/main" chartId="{8bcb81f3-4fb4-4d06-b60a-d643f1722173}"/>
      </c:ext>
    </c:extLst>
  </c:chart>
  <c:spPr>
    <a:solidFill>
      <a:schemeClr val="bg1"/>
    </a:solidFill>
    <a:ln w="6350" cap="flat" cmpd="sng" algn="ctr">
      <a:solidFill>
        <a:schemeClr val="tx1">
          <a:lumMod val="50000"/>
          <a:lumOff val="50000"/>
          <a:alpha val="25000"/>
        </a:schemeClr>
      </a:solidFill>
      <a:round/>
    </a:ln>
    <a:effectLst>
      <a:outerShdw blurRad="63500" dist="37357" dir="2700000" sx="0" sy="0" rotWithShape="0">
        <a:scrgbClr r="0" g="0" b="0"/>
      </a:outerShdw>
    </a:effectLst>
  </c:spPr>
  <c:txPr>
    <a:bodyPr/>
    <a:lstStyle/>
    <a:p>
      <a:pPr>
        <a:defRPr lang="zh-CN" sz="90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美术统计!$B$11:$F$11</c:f>
              <c:numCache>
                <c:formatCode>General</c:formatCode>
                <c:ptCount val="5"/>
                <c:pt idx="0">
                  <c:v>4</c:v>
                </c:pt>
                <c:pt idx="1">
                  <c:v>11</c:v>
                </c:pt>
                <c:pt idx="2">
                  <c:v>37</c:v>
                </c:pt>
                <c:pt idx="3">
                  <c:v>41</c:v>
                </c:pt>
                <c:pt idx="4">
                  <c:v>25</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心理统计!$B$3:$F$3</c:f>
              <c:numCache>
                <c:formatCode>General</c:formatCode>
                <c:ptCount val="5"/>
                <c:pt idx="0">
                  <c:v>19</c:v>
                </c:pt>
                <c:pt idx="1">
                  <c:v>19</c:v>
                </c:pt>
                <c:pt idx="2">
                  <c:v>26</c:v>
                </c:pt>
                <c:pt idx="3">
                  <c:v>32</c:v>
                </c:pt>
                <c:pt idx="4">
                  <c:v>21</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rot="0" vert="wordArtVertRtl"/>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心理统计!$B$4:$F$4</c:f>
              <c:numCache>
                <c:formatCode>General</c:formatCode>
                <c:ptCount val="5"/>
                <c:pt idx="0">
                  <c:v>17</c:v>
                </c:pt>
                <c:pt idx="1">
                  <c:v>23</c:v>
                </c:pt>
                <c:pt idx="2">
                  <c:v>25</c:v>
                </c:pt>
                <c:pt idx="3">
                  <c:v>29</c:v>
                </c:pt>
                <c:pt idx="4">
                  <c:v>23</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心理统计!$B$5:$F$5</c:f>
              <c:numCache>
                <c:formatCode>General</c:formatCode>
                <c:ptCount val="5"/>
                <c:pt idx="0">
                  <c:v>12</c:v>
                </c:pt>
                <c:pt idx="1">
                  <c:v>20</c:v>
                </c:pt>
                <c:pt idx="2">
                  <c:v>28</c:v>
                </c:pt>
                <c:pt idx="3">
                  <c:v>27</c:v>
                </c:pt>
                <c:pt idx="4">
                  <c:v>30</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心理统计!$B$6:$F$6</c:f>
              <c:numCache>
                <c:formatCode>General</c:formatCode>
                <c:ptCount val="5"/>
                <c:pt idx="0">
                  <c:v>14</c:v>
                </c:pt>
                <c:pt idx="1">
                  <c:v>23</c:v>
                </c:pt>
                <c:pt idx="2">
                  <c:v>33</c:v>
                </c:pt>
                <c:pt idx="3">
                  <c:v>31</c:v>
                </c:pt>
                <c:pt idx="4">
                  <c:v>16</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Sheet4!$B$1:$F$1</c:f>
              <c:strCache>
                <c:ptCount val="5"/>
                <c:pt idx="0">
                  <c:v>非常不符合</c:v>
                </c:pt>
                <c:pt idx="1">
                  <c:v>比较不符合</c:v>
                </c:pt>
                <c:pt idx="2">
                  <c:v>一般</c:v>
                </c:pt>
                <c:pt idx="3">
                  <c:v>比较符合</c:v>
                </c:pt>
                <c:pt idx="4">
                  <c:v>非常符合</c:v>
                </c:pt>
              </c:strCache>
            </c:strRef>
          </c:cat>
          <c:val>
            <c:numRef>
              <c:f>Sheet4!$B$2:$F$2</c:f>
              <c:numCache>
                <c:formatCode>General</c:formatCode>
                <c:ptCount val="5"/>
                <c:pt idx="0">
                  <c:v>17</c:v>
                </c:pt>
                <c:pt idx="1">
                  <c:v>21</c:v>
                </c:pt>
                <c:pt idx="2">
                  <c:v>28</c:v>
                </c:pt>
                <c:pt idx="3">
                  <c:v>33</c:v>
                </c:pt>
                <c:pt idx="4">
                  <c:v>18</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Sheet4!$B$3:$F$3</c:f>
              <c:numCache>
                <c:formatCode>General</c:formatCode>
                <c:ptCount val="5"/>
                <c:pt idx="0">
                  <c:v>19</c:v>
                </c:pt>
                <c:pt idx="1">
                  <c:v>19</c:v>
                </c:pt>
                <c:pt idx="2">
                  <c:v>26</c:v>
                </c:pt>
                <c:pt idx="3">
                  <c:v>32</c:v>
                </c:pt>
                <c:pt idx="4">
                  <c:v>21</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Sheet4!$B$4:$F$4</c:f>
              <c:numCache>
                <c:formatCode>General</c:formatCode>
                <c:ptCount val="5"/>
                <c:pt idx="0">
                  <c:v>17</c:v>
                </c:pt>
                <c:pt idx="1">
                  <c:v>23</c:v>
                </c:pt>
                <c:pt idx="2">
                  <c:v>25</c:v>
                </c:pt>
                <c:pt idx="3">
                  <c:v>29</c:v>
                </c:pt>
                <c:pt idx="4">
                  <c:v>23</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Sheet4!$B$5:$F$5</c:f>
              <c:numCache>
                <c:formatCode>General</c:formatCode>
                <c:ptCount val="5"/>
                <c:pt idx="0">
                  <c:v>12</c:v>
                </c:pt>
                <c:pt idx="1">
                  <c:v>20</c:v>
                </c:pt>
                <c:pt idx="2">
                  <c:v>28</c:v>
                </c:pt>
                <c:pt idx="3">
                  <c:v>27</c:v>
                </c:pt>
                <c:pt idx="4">
                  <c:v>30</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Sheet4!$B$8:$F$8</c:f>
              <c:numCache>
                <c:formatCode>General</c:formatCode>
                <c:ptCount val="5"/>
                <c:pt idx="0">
                  <c:v>10</c:v>
                </c:pt>
                <c:pt idx="1">
                  <c:v>16</c:v>
                </c:pt>
                <c:pt idx="2">
                  <c:v>33</c:v>
                </c:pt>
                <c:pt idx="3">
                  <c:v>35</c:v>
                </c:pt>
                <c:pt idx="4">
                  <c:v>23</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Sheet4!$B$9:$F$9</c:f>
              <c:numCache>
                <c:formatCode>General</c:formatCode>
                <c:ptCount val="5"/>
                <c:pt idx="0">
                  <c:v>8</c:v>
                </c:pt>
                <c:pt idx="1">
                  <c:v>26</c:v>
                </c:pt>
                <c:pt idx="2">
                  <c:v>36</c:v>
                </c:pt>
                <c:pt idx="3">
                  <c:v>28</c:v>
                </c:pt>
                <c:pt idx="4">
                  <c:v>19</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Sheet4!$B$10:$F$10</c:f>
              <c:numCache>
                <c:formatCode>General</c:formatCode>
                <c:ptCount val="5"/>
                <c:pt idx="0">
                  <c:v>12</c:v>
                </c:pt>
                <c:pt idx="1">
                  <c:v>20</c:v>
                </c:pt>
                <c:pt idx="2">
                  <c:v>35</c:v>
                </c:pt>
                <c:pt idx="3">
                  <c:v>29</c:v>
                </c:pt>
                <c:pt idx="4">
                  <c:v>21</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Sheet4!$B$13:$F$13</c:f>
              <c:numCache>
                <c:formatCode>General</c:formatCode>
                <c:ptCount val="5"/>
                <c:pt idx="0">
                  <c:v>16</c:v>
                </c:pt>
                <c:pt idx="1">
                  <c:v>29</c:v>
                </c:pt>
                <c:pt idx="2">
                  <c:v>25</c:v>
                </c:pt>
                <c:pt idx="3">
                  <c:v>29</c:v>
                </c:pt>
                <c:pt idx="4">
                  <c:v>18</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Sheet4!$B$14:$F$14</c:f>
              <c:numCache>
                <c:formatCode>General</c:formatCode>
                <c:ptCount val="5"/>
                <c:pt idx="0">
                  <c:v>7</c:v>
                </c:pt>
                <c:pt idx="1">
                  <c:v>15</c:v>
                </c:pt>
                <c:pt idx="2">
                  <c:v>33</c:v>
                </c:pt>
                <c:pt idx="3">
                  <c:v>35</c:v>
                </c:pt>
                <c:pt idx="4">
                  <c:v>27</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Sheet4!$B$15:$F$15</c:f>
              <c:numCache>
                <c:formatCode>General</c:formatCode>
                <c:ptCount val="5"/>
                <c:pt idx="0">
                  <c:v>13</c:v>
                </c:pt>
                <c:pt idx="1">
                  <c:v>13</c:v>
                </c:pt>
                <c:pt idx="2">
                  <c:v>25</c:v>
                </c:pt>
                <c:pt idx="3">
                  <c:v>38</c:v>
                </c:pt>
                <c:pt idx="4">
                  <c:v>28</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Sheet4!$B$17:$F$17</c:f>
              <c:numCache>
                <c:formatCode>General</c:formatCode>
                <c:ptCount val="5"/>
                <c:pt idx="0">
                  <c:v>7</c:v>
                </c:pt>
                <c:pt idx="1">
                  <c:v>17</c:v>
                </c:pt>
                <c:pt idx="2">
                  <c:v>31</c:v>
                </c:pt>
                <c:pt idx="3">
                  <c:v>35</c:v>
                </c:pt>
                <c:pt idx="4">
                  <c:v>27</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Sheet4!$B$18:$F$18</c:f>
              <c:numCache>
                <c:formatCode>General</c:formatCode>
                <c:ptCount val="5"/>
                <c:pt idx="0">
                  <c:v>6</c:v>
                </c:pt>
                <c:pt idx="1">
                  <c:v>17</c:v>
                </c:pt>
                <c:pt idx="2">
                  <c:v>33</c:v>
                </c:pt>
                <c:pt idx="3">
                  <c:v>39</c:v>
                </c:pt>
                <c:pt idx="4">
                  <c:v>22</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2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delete val="1"/>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Sheet4!$B$19:$F$19</c:f>
              <c:numCache>
                <c:formatCode>General</c:formatCode>
                <c:ptCount val="5"/>
                <c:pt idx="0">
                  <c:v>0</c:v>
                </c:pt>
                <c:pt idx="1">
                  <c:v>3</c:v>
                </c:pt>
                <c:pt idx="2">
                  <c:v>33</c:v>
                </c:pt>
                <c:pt idx="3">
                  <c:v>62</c:v>
                </c:pt>
                <c:pt idx="4">
                  <c:v>19</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hart2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ln w="19050">
              <a:solidFill>
                <a:schemeClr val="bg1"/>
              </a:solidFill>
            </a:ln>
          </c:spPr>
          <c:explosion val="0"/>
          <c:dPt>
            <c:idx val="0"/>
            <c:bubble3D val="0"/>
            <c:spPr>
              <a:solidFill>
                <a:srgbClr val="40407A"/>
              </a:solidFill>
              <a:ln w="19050">
                <a:solidFill>
                  <a:schemeClr val="bg1"/>
                </a:solidFill>
              </a:ln>
              <a:effectLst/>
            </c:spPr>
          </c:dPt>
          <c:dPt>
            <c:idx val="1"/>
            <c:bubble3D val="0"/>
            <c:spPr>
              <a:solidFill>
                <a:srgbClr val="706FD3"/>
              </a:solidFill>
              <a:ln w="19050">
                <a:solidFill>
                  <a:schemeClr val="bg1"/>
                </a:solidFill>
              </a:ln>
              <a:effectLst/>
            </c:spPr>
          </c:dPt>
          <c:dPt>
            <c:idx val="2"/>
            <c:bubble3D val="0"/>
            <c:spPr>
              <a:solidFill>
                <a:srgbClr val="9898B7"/>
              </a:solidFill>
              <a:ln w="19050">
                <a:solidFill>
                  <a:schemeClr val="bg1"/>
                </a:solidFill>
              </a:ln>
              <a:effectLst/>
            </c:spPr>
          </c:dPt>
          <c:dPt>
            <c:idx val="3"/>
            <c:bubble3D val="0"/>
            <c:spPr>
              <a:solidFill>
                <a:srgbClr val="4472C4">
                  <a:lumMod val="60000"/>
                  <a:lumOff val="40000"/>
                </a:srgbClr>
              </a:solidFill>
              <a:ln w="19050">
                <a:solidFill>
                  <a:schemeClr val="bg1"/>
                </a:solidFill>
              </a:ln>
              <a:effectLst/>
            </c:spPr>
          </c:dPt>
          <c:dPt>
            <c:idx val="4"/>
            <c:bubble3D val="0"/>
            <c:spPr>
              <a:solidFill>
                <a:srgbClr val="74D3D1"/>
              </a:solidFill>
              <a:ln w="19050">
                <a:solidFill>
                  <a:schemeClr val="bg1"/>
                </a:solidFill>
              </a:ln>
              <a:effectLst/>
            </c:spPr>
          </c:dPt>
          <c:dLbls>
            <c:dLbl>
              <c:idx val="0"/>
              <c:layout>
                <c:manualLayout>
                  <c:x val="0.00600353648214391"/>
                  <c:y val="-0.0171024000875477"/>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0157138053454725"/>
                  <c:y val="0.0157852761935338"/>
                </c:manualLayout>
              </c:layou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012253986694992"/>
                  <c:y val="-0.00552808634557958"/>
                </c:manualLayout>
              </c:layou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0.00300750219957743"/>
                  <c:y val="0.00213066254122585"/>
                </c:manualLayout>
              </c:layou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0.0018858647485581"/>
                  <c:y val="0.00259086511973588"/>
                </c:manualLayout>
              </c:layout>
              <c:showLegendKey val="0"/>
              <c:showVal val="0"/>
              <c:showCatName val="0"/>
              <c:showSerName val="0"/>
              <c:showPercent val="1"/>
              <c:showBubbleSize val="0"/>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Sheet4!$B$20:$F$20</c:f>
              <c:numCache>
                <c:formatCode>General</c:formatCode>
                <c:ptCount val="5"/>
                <c:pt idx="0">
                  <c:v>5</c:v>
                </c:pt>
                <c:pt idx="1">
                  <c:v>8</c:v>
                </c:pt>
                <c:pt idx="2">
                  <c:v>33</c:v>
                </c:pt>
                <c:pt idx="3">
                  <c:v>49</c:v>
                </c:pt>
                <c:pt idx="4">
                  <c:v>22</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uri="{0b15fc19-7d7d-44ad-8c2d-2c3a37ce22c3}">
        <chartProps xmlns="https://web.wps.cn/et/2018/main" chartId="{62dc42a7-6cf9-4a54-b344-594b0f5c9a1f}"/>
      </c:ext>
    </c:extLst>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4" Type="http://schemas.openxmlformats.org/officeDocument/2006/relationships/chart" Target="../charts/chart8.xml"/><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9" Type="http://schemas.openxmlformats.org/officeDocument/2006/relationships/chart" Target="../charts/chart22.xml"/><Relationship Id="rId8" Type="http://schemas.openxmlformats.org/officeDocument/2006/relationships/chart" Target="../charts/chart21.xml"/><Relationship Id="rId7" Type="http://schemas.openxmlformats.org/officeDocument/2006/relationships/chart" Target="../charts/chart20.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 Id="rId3" Type="http://schemas.openxmlformats.org/officeDocument/2006/relationships/chart" Target="../charts/chart16.xml"/><Relationship Id="rId2" Type="http://schemas.openxmlformats.org/officeDocument/2006/relationships/chart" Target="../charts/chart15.xml"/><Relationship Id="rId14" Type="http://schemas.openxmlformats.org/officeDocument/2006/relationships/chart" Target="../charts/chart27.xml"/><Relationship Id="rId13" Type="http://schemas.openxmlformats.org/officeDocument/2006/relationships/chart" Target="../charts/chart26.xml"/><Relationship Id="rId12" Type="http://schemas.openxmlformats.org/officeDocument/2006/relationships/chart" Target="../charts/chart25.xml"/><Relationship Id="rId11" Type="http://schemas.openxmlformats.org/officeDocument/2006/relationships/chart" Target="../charts/chart24.xml"/><Relationship Id="rId10" Type="http://schemas.openxmlformats.org/officeDocument/2006/relationships/chart" Target="../charts/chart23.xml"/><Relationship Id="rId1" Type="http://schemas.openxmlformats.org/officeDocument/2006/relationships/chart" Target="../charts/chart1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1991360</xdr:colOff>
      <xdr:row>27</xdr:row>
      <xdr:rowOff>154940</xdr:rowOff>
    </xdr:from>
    <xdr:to>
      <xdr:col>1</xdr:col>
      <xdr:colOff>334010</xdr:colOff>
      <xdr:row>45</xdr:row>
      <xdr:rowOff>40640</xdr:rowOff>
    </xdr:to>
    <xdr:graphicFrame>
      <xdr:nvGraphicFramePr>
        <xdr:cNvPr id="10" name="图表 9" descr="7b0a202020202263686172745265734964223a202234353338343530220a7d0a"/>
        <xdr:cNvGraphicFramePr/>
      </xdr:nvGraphicFramePr>
      <xdr:xfrm>
        <a:off x="1991360" y="4542790"/>
        <a:ext cx="3504565"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6167755</xdr:colOff>
      <xdr:row>28</xdr:row>
      <xdr:rowOff>55880</xdr:rowOff>
    </xdr:from>
    <xdr:to>
      <xdr:col>7</xdr:col>
      <xdr:colOff>548005</xdr:colOff>
      <xdr:row>45</xdr:row>
      <xdr:rowOff>100330</xdr:rowOff>
    </xdr:to>
    <xdr:graphicFrame>
      <xdr:nvGraphicFramePr>
        <xdr:cNvPr id="11" name="图表 10" descr="7b0a202020202263686172745265734964223a202234353338343530220a7d0a"/>
        <xdr:cNvGraphicFramePr/>
      </xdr:nvGraphicFramePr>
      <xdr:xfrm>
        <a:off x="5161915" y="4602480"/>
        <a:ext cx="4510405"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220345</xdr:colOff>
      <xdr:row>28</xdr:row>
      <xdr:rowOff>8890</xdr:rowOff>
    </xdr:from>
    <xdr:to>
      <xdr:col>13</xdr:col>
      <xdr:colOff>423545</xdr:colOff>
      <xdr:row>45</xdr:row>
      <xdr:rowOff>53340</xdr:rowOff>
    </xdr:to>
    <xdr:graphicFrame>
      <xdr:nvGraphicFramePr>
        <xdr:cNvPr id="12" name="图表 11" descr="7b0a202020202263686172745265734964223a202234353338343530220a7d0a"/>
        <xdr:cNvGraphicFramePr/>
      </xdr:nvGraphicFramePr>
      <xdr:xfrm>
        <a:off x="8684260" y="4555490"/>
        <a:ext cx="4826000"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5345430</xdr:colOff>
      <xdr:row>49</xdr:row>
      <xdr:rowOff>15875</xdr:rowOff>
    </xdr:from>
    <xdr:to>
      <xdr:col>6</xdr:col>
      <xdr:colOff>386080</xdr:colOff>
      <xdr:row>66</xdr:row>
      <xdr:rowOff>60325</xdr:rowOff>
    </xdr:to>
    <xdr:graphicFrame>
      <xdr:nvGraphicFramePr>
        <xdr:cNvPr id="13" name="图表 12" descr="7b0a202020202263686172745265734964223a202234353338343530220a7d0a"/>
        <xdr:cNvGraphicFramePr/>
      </xdr:nvGraphicFramePr>
      <xdr:xfrm>
        <a:off x="5161915" y="7896225"/>
        <a:ext cx="368808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252730</xdr:colOff>
      <xdr:row>1</xdr:row>
      <xdr:rowOff>22860</xdr:rowOff>
    </xdr:from>
    <xdr:to>
      <xdr:col>9</xdr:col>
      <xdr:colOff>501015</xdr:colOff>
      <xdr:row>11</xdr:row>
      <xdr:rowOff>167005</xdr:rowOff>
    </xdr:to>
    <xdr:graphicFrame>
      <xdr:nvGraphicFramePr>
        <xdr:cNvPr id="5" name="图表 4" descr="7b0a202020202263686172745265734964223a20223530303539353734220a7d0a"/>
        <xdr:cNvGraphicFramePr/>
      </xdr:nvGraphicFramePr>
      <xdr:xfrm>
        <a:off x="4558030" y="200660"/>
        <a:ext cx="3905885" cy="201739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164465</xdr:colOff>
      <xdr:row>12</xdr:row>
      <xdr:rowOff>102235</xdr:rowOff>
    </xdr:from>
    <xdr:to>
      <xdr:col>9</xdr:col>
      <xdr:colOff>572770</xdr:colOff>
      <xdr:row>24</xdr:row>
      <xdr:rowOff>92075</xdr:rowOff>
    </xdr:to>
    <xdr:graphicFrame>
      <xdr:nvGraphicFramePr>
        <xdr:cNvPr id="6" name="图表 5" descr="7b0a202020202263686172745265734964223a20223530303539353734220a7d0a"/>
        <xdr:cNvGraphicFramePr/>
      </xdr:nvGraphicFramePr>
      <xdr:xfrm>
        <a:off x="4469765" y="2340610"/>
        <a:ext cx="4065905" cy="22377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182880</xdr:colOff>
      <xdr:row>14</xdr:row>
      <xdr:rowOff>13335</xdr:rowOff>
    </xdr:from>
    <xdr:to>
      <xdr:col>16</xdr:col>
      <xdr:colOff>591185</xdr:colOff>
      <xdr:row>25</xdr:row>
      <xdr:rowOff>161925</xdr:rowOff>
    </xdr:to>
    <xdr:graphicFrame>
      <xdr:nvGraphicFramePr>
        <xdr:cNvPr id="7" name="图表 6" descr="7b0a202020202263686172745265734964223a20223530303539353734220a7d0a"/>
        <xdr:cNvGraphicFramePr/>
      </xdr:nvGraphicFramePr>
      <xdr:xfrm>
        <a:off x="8755380" y="2626360"/>
        <a:ext cx="4065905" cy="21805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82550</xdr:colOff>
      <xdr:row>1</xdr:row>
      <xdr:rowOff>79375</xdr:rowOff>
    </xdr:from>
    <xdr:to>
      <xdr:col>16</xdr:col>
      <xdr:colOff>490855</xdr:colOff>
      <xdr:row>13</xdr:row>
      <xdr:rowOff>12065</xdr:rowOff>
    </xdr:to>
    <xdr:graphicFrame>
      <xdr:nvGraphicFramePr>
        <xdr:cNvPr id="9" name="图表 8" descr="7b0a202020202263686172745265734964223a20223530303539353734220a7d0a"/>
        <xdr:cNvGraphicFramePr/>
      </xdr:nvGraphicFramePr>
      <xdr:xfrm>
        <a:off x="8655050" y="257175"/>
        <a:ext cx="4065905" cy="218059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1715135</xdr:colOff>
      <xdr:row>23</xdr:row>
      <xdr:rowOff>69850</xdr:rowOff>
    </xdr:from>
    <xdr:to>
      <xdr:col>0</xdr:col>
      <xdr:colOff>6225540</xdr:colOff>
      <xdr:row>40</xdr:row>
      <xdr:rowOff>114300</xdr:rowOff>
    </xdr:to>
    <xdr:graphicFrame>
      <xdr:nvGraphicFramePr>
        <xdr:cNvPr id="2" name="图表 1" descr="7b0a202020202263686172745265734964223a202234353338343530220a7d0a"/>
        <xdr:cNvGraphicFramePr/>
      </xdr:nvGraphicFramePr>
      <xdr:xfrm>
        <a:off x="1715135" y="3740150"/>
        <a:ext cx="4510405"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5723255</xdr:colOff>
      <xdr:row>23</xdr:row>
      <xdr:rowOff>19685</xdr:rowOff>
    </xdr:from>
    <xdr:to>
      <xdr:col>2</xdr:col>
      <xdr:colOff>80010</xdr:colOff>
      <xdr:row>40</xdr:row>
      <xdr:rowOff>64135</xdr:rowOff>
    </xdr:to>
    <xdr:graphicFrame>
      <xdr:nvGraphicFramePr>
        <xdr:cNvPr id="4" name="图表 3" descr="7b0a202020202263686172745265734964223a202234353338343530220a7d0a"/>
        <xdr:cNvGraphicFramePr/>
      </xdr:nvGraphicFramePr>
      <xdr:xfrm>
        <a:off x="5723255" y="3689985"/>
        <a:ext cx="4510405"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9349105</xdr:colOff>
      <xdr:row>23</xdr:row>
      <xdr:rowOff>77470</xdr:rowOff>
    </xdr:from>
    <xdr:to>
      <xdr:col>8</xdr:col>
      <xdr:colOff>156210</xdr:colOff>
      <xdr:row>40</xdr:row>
      <xdr:rowOff>121920</xdr:rowOff>
    </xdr:to>
    <xdr:graphicFrame>
      <xdr:nvGraphicFramePr>
        <xdr:cNvPr id="5" name="图表 4" descr="7b0a202020202263686172745265734964223a202234353338343530220a7d0a"/>
        <xdr:cNvGraphicFramePr/>
      </xdr:nvGraphicFramePr>
      <xdr:xfrm>
        <a:off x="9349105" y="3747770"/>
        <a:ext cx="4510405"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4370705</xdr:colOff>
      <xdr:row>40</xdr:row>
      <xdr:rowOff>3810</xdr:rowOff>
    </xdr:from>
    <xdr:to>
      <xdr:col>0</xdr:col>
      <xdr:colOff>8881110</xdr:colOff>
      <xdr:row>57</xdr:row>
      <xdr:rowOff>48260</xdr:rowOff>
    </xdr:to>
    <xdr:graphicFrame>
      <xdr:nvGraphicFramePr>
        <xdr:cNvPr id="6" name="图表 5" descr="7b0a202020202263686172745265734964223a202234353338343530220a7d0a"/>
        <xdr:cNvGraphicFramePr/>
      </xdr:nvGraphicFramePr>
      <xdr:xfrm>
        <a:off x="4370705" y="6372860"/>
        <a:ext cx="4510405"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7099935</xdr:colOff>
      <xdr:row>40</xdr:row>
      <xdr:rowOff>103505</xdr:rowOff>
    </xdr:from>
    <xdr:to>
      <xdr:col>4</xdr:col>
      <xdr:colOff>345440</xdr:colOff>
      <xdr:row>57</xdr:row>
      <xdr:rowOff>147955</xdr:rowOff>
    </xdr:to>
    <xdr:graphicFrame>
      <xdr:nvGraphicFramePr>
        <xdr:cNvPr id="7" name="图表 6" descr="7b0a202020202263686172745265734964223a202234353338343530220a7d0a"/>
        <xdr:cNvGraphicFramePr/>
      </xdr:nvGraphicFramePr>
      <xdr:xfrm>
        <a:off x="7099935" y="6472555"/>
        <a:ext cx="4510405"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177800</xdr:colOff>
      <xdr:row>22</xdr:row>
      <xdr:rowOff>63500</xdr:rowOff>
    </xdr:from>
    <xdr:to>
      <xdr:col>0</xdr:col>
      <xdr:colOff>3672205</xdr:colOff>
      <xdr:row>35</xdr:row>
      <xdr:rowOff>125095</xdr:rowOff>
    </xdr:to>
    <xdr:graphicFrame>
      <xdr:nvGraphicFramePr>
        <xdr:cNvPr id="2" name="图表 1" descr="7b0a202020202263686172745265734964223a202234353338343530220a7d0a"/>
        <xdr:cNvGraphicFramePr/>
      </xdr:nvGraphicFramePr>
      <xdr:xfrm>
        <a:off x="177800" y="3581400"/>
        <a:ext cx="3494405" cy="21253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2667000</xdr:colOff>
      <xdr:row>22</xdr:row>
      <xdr:rowOff>88900</xdr:rowOff>
    </xdr:from>
    <xdr:to>
      <xdr:col>2</xdr:col>
      <xdr:colOff>452755</xdr:colOff>
      <xdr:row>35</xdr:row>
      <xdr:rowOff>150495</xdr:rowOff>
    </xdr:to>
    <xdr:graphicFrame>
      <xdr:nvGraphicFramePr>
        <xdr:cNvPr id="3" name="图表 2" descr="7b0a202020202263686172745265734964223a202234353338343530220a7d0a"/>
        <xdr:cNvGraphicFramePr/>
      </xdr:nvGraphicFramePr>
      <xdr:xfrm>
        <a:off x="2667000" y="3606800"/>
        <a:ext cx="3494405" cy="212534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5080000</xdr:colOff>
      <xdr:row>22</xdr:row>
      <xdr:rowOff>127000</xdr:rowOff>
    </xdr:from>
    <xdr:to>
      <xdr:col>6</xdr:col>
      <xdr:colOff>427355</xdr:colOff>
      <xdr:row>36</xdr:row>
      <xdr:rowOff>29845</xdr:rowOff>
    </xdr:to>
    <xdr:graphicFrame>
      <xdr:nvGraphicFramePr>
        <xdr:cNvPr id="4" name="图表 3" descr="7b0a202020202263686172745265734964223a202234353338343530220a7d0a"/>
        <xdr:cNvGraphicFramePr/>
      </xdr:nvGraphicFramePr>
      <xdr:xfrm>
        <a:off x="5080000" y="3644900"/>
        <a:ext cx="3494405" cy="212534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469900</xdr:colOff>
      <xdr:row>22</xdr:row>
      <xdr:rowOff>152400</xdr:rowOff>
    </xdr:from>
    <xdr:to>
      <xdr:col>10</xdr:col>
      <xdr:colOff>306705</xdr:colOff>
      <xdr:row>36</xdr:row>
      <xdr:rowOff>55245</xdr:rowOff>
    </xdr:to>
    <xdr:graphicFrame>
      <xdr:nvGraphicFramePr>
        <xdr:cNvPr id="5" name="图表 4" descr="7b0a202020202263686172745265734964223a202234353338343530220a7d0a"/>
        <xdr:cNvGraphicFramePr/>
      </xdr:nvGraphicFramePr>
      <xdr:xfrm>
        <a:off x="7397750" y="3670300"/>
        <a:ext cx="3494405" cy="212534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609600</xdr:colOff>
      <xdr:row>36</xdr:row>
      <xdr:rowOff>19050</xdr:rowOff>
    </xdr:from>
    <xdr:to>
      <xdr:col>0</xdr:col>
      <xdr:colOff>4104005</xdr:colOff>
      <xdr:row>49</xdr:row>
      <xdr:rowOff>80645</xdr:rowOff>
    </xdr:to>
    <xdr:graphicFrame>
      <xdr:nvGraphicFramePr>
        <xdr:cNvPr id="6" name="图表 5" descr="7b0a202020202263686172745265734964223a202234353338343530220a7d0a"/>
        <xdr:cNvGraphicFramePr/>
      </xdr:nvGraphicFramePr>
      <xdr:xfrm>
        <a:off x="609600" y="5759450"/>
        <a:ext cx="3494405" cy="212534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3346450</xdr:colOff>
      <xdr:row>36</xdr:row>
      <xdr:rowOff>57150</xdr:rowOff>
    </xdr:from>
    <xdr:to>
      <xdr:col>3</xdr:col>
      <xdr:colOff>522605</xdr:colOff>
      <xdr:row>49</xdr:row>
      <xdr:rowOff>118745</xdr:rowOff>
    </xdr:to>
    <xdr:graphicFrame>
      <xdr:nvGraphicFramePr>
        <xdr:cNvPr id="7" name="图表 6" descr="7b0a202020202263686172745265734964223a202234353338343530220a7d0a"/>
        <xdr:cNvGraphicFramePr/>
      </xdr:nvGraphicFramePr>
      <xdr:xfrm>
        <a:off x="3346450" y="5797550"/>
        <a:ext cx="3494405" cy="212534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127000</xdr:colOff>
      <xdr:row>37</xdr:row>
      <xdr:rowOff>57150</xdr:rowOff>
    </xdr:from>
    <xdr:to>
      <xdr:col>8</xdr:col>
      <xdr:colOff>573405</xdr:colOff>
      <xdr:row>50</xdr:row>
      <xdr:rowOff>118745</xdr:rowOff>
    </xdr:to>
    <xdr:graphicFrame>
      <xdr:nvGraphicFramePr>
        <xdr:cNvPr id="8" name="图表 7" descr="7b0a202020202263686172745265734964223a202234353338343530220a7d0a"/>
        <xdr:cNvGraphicFramePr/>
      </xdr:nvGraphicFramePr>
      <xdr:xfrm>
        <a:off x="6445250" y="5956300"/>
        <a:ext cx="3494405" cy="212534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273050</xdr:colOff>
      <xdr:row>37</xdr:row>
      <xdr:rowOff>38735</xdr:rowOff>
    </xdr:from>
    <xdr:to>
      <xdr:col>16</xdr:col>
      <xdr:colOff>109855</xdr:colOff>
      <xdr:row>50</xdr:row>
      <xdr:rowOff>100330</xdr:rowOff>
    </xdr:to>
    <xdr:graphicFrame>
      <xdr:nvGraphicFramePr>
        <xdr:cNvPr id="9" name="图表 8" descr="7b0a202020202263686172745265734964223a202234353338343530220a7d0a"/>
        <xdr:cNvGraphicFramePr/>
      </xdr:nvGraphicFramePr>
      <xdr:xfrm>
        <a:off x="10858500" y="5937885"/>
        <a:ext cx="3494405" cy="212534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594360</xdr:colOff>
      <xdr:row>22</xdr:row>
      <xdr:rowOff>81280</xdr:rowOff>
    </xdr:from>
    <xdr:to>
      <xdr:col>16</xdr:col>
      <xdr:colOff>431165</xdr:colOff>
      <xdr:row>35</xdr:row>
      <xdr:rowOff>142875</xdr:rowOff>
    </xdr:to>
    <xdr:graphicFrame>
      <xdr:nvGraphicFramePr>
        <xdr:cNvPr id="10" name="图表 9" descr="7b0a202020202263686172745265734964223a202234353338343530220a7d0a"/>
        <xdr:cNvGraphicFramePr/>
      </xdr:nvGraphicFramePr>
      <xdr:xfrm>
        <a:off x="11179810" y="3599180"/>
        <a:ext cx="3494405" cy="212534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275590</xdr:colOff>
      <xdr:row>9</xdr:row>
      <xdr:rowOff>64135</xdr:rowOff>
    </xdr:from>
    <xdr:to>
      <xdr:col>16</xdr:col>
      <xdr:colOff>112395</xdr:colOff>
      <xdr:row>22</xdr:row>
      <xdr:rowOff>106680</xdr:rowOff>
    </xdr:to>
    <xdr:graphicFrame>
      <xdr:nvGraphicFramePr>
        <xdr:cNvPr id="11" name="图表 10" descr="7b0a202020202263686172745265734964223a202234353338343530220a7d0a"/>
        <xdr:cNvGraphicFramePr/>
      </xdr:nvGraphicFramePr>
      <xdr:xfrm>
        <a:off x="10861040" y="1499235"/>
        <a:ext cx="3494405" cy="2125345"/>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159385</xdr:colOff>
      <xdr:row>8</xdr:row>
      <xdr:rowOff>88900</xdr:rowOff>
    </xdr:from>
    <xdr:to>
      <xdr:col>21</xdr:col>
      <xdr:colOff>605790</xdr:colOff>
      <xdr:row>21</xdr:row>
      <xdr:rowOff>131445</xdr:rowOff>
    </xdr:to>
    <xdr:graphicFrame>
      <xdr:nvGraphicFramePr>
        <xdr:cNvPr id="12" name="图表 11" descr="7b0a202020202263686172745265734964223a202234353338343530220a7d0a"/>
        <xdr:cNvGraphicFramePr/>
      </xdr:nvGraphicFramePr>
      <xdr:xfrm>
        <a:off x="14402435" y="1365250"/>
        <a:ext cx="3494405" cy="2125345"/>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355600</xdr:colOff>
      <xdr:row>23</xdr:row>
      <xdr:rowOff>126365</xdr:rowOff>
    </xdr:from>
    <xdr:to>
      <xdr:col>22</xdr:col>
      <xdr:colOff>192405</xdr:colOff>
      <xdr:row>37</xdr:row>
      <xdr:rowOff>29210</xdr:rowOff>
    </xdr:to>
    <xdr:graphicFrame>
      <xdr:nvGraphicFramePr>
        <xdr:cNvPr id="13" name="图表 12" descr="7b0a202020202263686172745265734964223a202234353338343530220a7d0a"/>
        <xdr:cNvGraphicFramePr/>
      </xdr:nvGraphicFramePr>
      <xdr:xfrm>
        <a:off x="14598650" y="3803015"/>
        <a:ext cx="3494405" cy="2125345"/>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171450</xdr:colOff>
      <xdr:row>37</xdr:row>
      <xdr:rowOff>13335</xdr:rowOff>
    </xdr:from>
    <xdr:to>
      <xdr:col>22</xdr:col>
      <xdr:colOff>8255</xdr:colOff>
      <xdr:row>50</xdr:row>
      <xdr:rowOff>74930</xdr:rowOff>
    </xdr:to>
    <xdr:graphicFrame>
      <xdr:nvGraphicFramePr>
        <xdr:cNvPr id="14" name="图表 13" descr="7b0a202020202263686172745265734964223a202234353338343530220a7d0a"/>
        <xdr:cNvGraphicFramePr/>
      </xdr:nvGraphicFramePr>
      <xdr:xfrm>
        <a:off x="14414500" y="5912485"/>
        <a:ext cx="3494405" cy="2125345"/>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32385</xdr:colOff>
      <xdr:row>50</xdr:row>
      <xdr:rowOff>47625</xdr:rowOff>
    </xdr:from>
    <xdr:to>
      <xdr:col>21</xdr:col>
      <xdr:colOff>478790</xdr:colOff>
      <xdr:row>63</xdr:row>
      <xdr:rowOff>109220</xdr:rowOff>
    </xdr:to>
    <xdr:graphicFrame>
      <xdr:nvGraphicFramePr>
        <xdr:cNvPr id="15" name="图表 14" descr="7b0a202020202263686172745265734964223a202234353338343530220a7d0a"/>
        <xdr:cNvGraphicFramePr/>
      </xdr:nvGraphicFramePr>
      <xdr:xfrm>
        <a:off x="14275435" y="8010525"/>
        <a:ext cx="3494405" cy="2125345"/>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自定义 105">
    <a:dk1>
      <a:srgbClr val="000000"/>
    </a:dk1>
    <a:lt1>
      <a:srgbClr val="FFFFFF"/>
    </a:lt1>
    <a:dk2>
      <a:srgbClr val="44546A"/>
    </a:dk2>
    <a:lt2>
      <a:srgbClr val="E7E6E6"/>
    </a:lt2>
    <a:accent1>
      <a:srgbClr val="33B7E3"/>
    </a:accent1>
    <a:accent2>
      <a:srgbClr val="EB5B73"/>
    </a:accent2>
    <a:accent3>
      <a:srgbClr val="FBC343"/>
    </a:accent3>
    <a:accent4>
      <a:srgbClr val="376473"/>
    </a:accent4>
    <a:accent5>
      <a:srgbClr val="4F9793"/>
    </a:accent5>
    <a:accent6>
      <a:srgbClr val="6A98E4"/>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自定义 105">
    <a:dk1>
      <a:srgbClr val="000000"/>
    </a:dk1>
    <a:lt1>
      <a:srgbClr val="FFFFFF"/>
    </a:lt1>
    <a:dk2>
      <a:srgbClr val="44546A"/>
    </a:dk2>
    <a:lt2>
      <a:srgbClr val="E7E6E6"/>
    </a:lt2>
    <a:accent1>
      <a:srgbClr val="33B7E3"/>
    </a:accent1>
    <a:accent2>
      <a:srgbClr val="EB5B73"/>
    </a:accent2>
    <a:accent3>
      <a:srgbClr val="FBC343"/>
    </a:accent3>
    <a:accent4>
      <a:srgbClr val="376473"/>
    </a:accent4>
    <a:accent5>
      <a:srgbClr val="4F9793"/>
    </a:accent5>
    <a:accent6>
      <a:srgbClr val="6A98E4"/>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自定义 105">
    <a:dk1>
      <a:srgbClr val="000000"/>
    </a:dk1>
    <a:lt1>
      <a:srgbClr val="FFFFFF"/>
    </a:lt1>
    <a:dk2>
      <a:srgbClr val="44546A"/>
    </a:dk2>
    <a:lt2>
      <a:srgbClr val="E7E6E6"/>
    </a:lt2>
    <a:accent1>
      <a:srgbClr val="33B7E3"/>
    </a:accent1>
    <a:accent2>
      <a:srgbClr val="EB5B73"/>
    </a:accent2>
    <a:accent3>
      <a:srgbClr val="FBC343"/>
    </a:accent3>
    <a:accent4>
      <a:srgbClr val="376473"/>
    </a:accent4>
    <a:accent5>
      <a:srgbClr val="4F9793"/>
    </a:accent5>
    <a:accent6>
      <a:srgbClr val="6A98E4"/>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自定义 105">
    <a:dk1>
      <a:srgbClr val="000000"/>
    </a:dk1>
    <a:lt1>
      <a:srgbClr val="FFFFFF"/>
    </a:lt1>
    <a:dk2>
      <a:srgbClr val="44546A"/>
    </a:dk2>
    <a:lt2>
      <a:srgbClr val="E7E6E6"/>
    </a:lt2>
    <a:accent1>
      <a:srgbClr val="33B7E3"/>
    </a:accent1>
    <a:accent2>
      <a:srgbClr val="EB5B73"/>
    </a:accent2>
    <a:accent3>
      <a:srgbClr val="FBC343"/>
    </a:accent3>
    <a:accent4>
      <a:srgbClr val="376473"/>
    </a:accent4>
    <a:accent5>
      <a:srgbClr val="4F9793"/>
    </a:accent5>
    <a:accent6>
      <a:srgbClr val="6A98E4"/>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3.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4.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5.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6.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7.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_rels/sheet3.xml.rels><?xml version="1.0" encoding="UTF-8"?>
<Relationships xmlns="http://schemas.openxmlformats.org/package/2006/relationships"><Relationship Id="rId1" Target="../media/image1.png" Type="http://schemas.openxmlformats.org/officeDocument/2006/relationships/image"></Relationship></Relationships>
</file>

<file path=xl/worksheets/_rels/sheet4.xml.rels><?xml version="1.0" encoding="UTF-8"?>
<Relationships xmlns="http://schemas.openxmlformats.org/package/2006/relationships"><Relationship Id="rId1" Target="../media/image1.png" Type="http://schemas.openxmlformats.org/officeDocument/2006/relationships/image"></Relationship></Relationships>
</file>

<file path=xl/worksheets/_rels/sheet5.xml.rels><?xml version="1.0" encoding="UTF-8"?>
<Relationships xmlns="http://schemas.openxmlformats.org/package/2006/relationships"><Relationship Id="rId1" Target="../media/image1.png" Type="http://schemas.openxmlformats.org/officeDocument/2006/relationships/image"></Relationship></Relationships>
</file>

<file path=xl/worksheets/_rels/sheet6.xml.rels><?xml version="1.0" encoding="UTF-8"?>
<Relationships xmlns="http://schemas.openxmlformats.org/package/2006/relationships"><Relationship Id="rId1" Target="../drawings/drawing1.xml" Type="http://schemas.openxmlformats.org/officeDocument/2006/relationships/drawing"></Relationship><Relationship Id="rId2" Target="../media/image1.png" Type="http://schemas.openxmlformats.org/officeDocument/2006/relationships/image"></Relationship></Relationships>
</file>

<file path=xl/worksheets/_rels/sheet7.xml.rels><?xml version="1.0" encoding="UTF-8"?>
<Relationships xmlns="http://schemas.openxmlformats.org/package/2006/relationships"><Relationship Id="rId1" Target="../drawings/drawing2.xml" Type="http://schemas.openxmlformats.org/officeDocument/2006/relationships/drawing"></Relationship><Relationship Id="rId2" Target="../media/image1.png" Type="http://schemas.openxmlformats.org/officeDocument/2006/relationships/image"></Relationship></Relationships>
</file>

<file path=xl/worksheets/_rels/sheet8.xml.rels><?xml version="1.0" encoding="UTF-8"?>
<Relationships xmlns="http://schemas.openxmlformats.org/package/2006/relationships"><Relationship Id="rId1" Target="../media/image1.png" Type="http://schemas.openxmlformats.org/officeDocument/2006/relationships/image"></Relationship></Relationships>
</file>

<file path=xl/worksheets/_rels/sheet9.xml.rels><?xml version="1.0" encoding="UTF-8"?>
<Relationships xmlns="http://schemas.openxmlformats.org/package/2006/relationships"><Relationship Id="rId1" Target="../drawings/drawing3.xml" Type="http://schemas.openxmlformats.org/officeDocument/2006/relationships/drawing"></Relationship><Relationship Id="rId2" Target="../media/image1.png" Type="http://schemas.openxmlformats.org/officeDocument/2006/relationships/image"></Relationship></Relationships>
</file>

<file path=xl/worksheets/_rels/sheet10.xml.rels><?xml version="1.0" encoding="UTF-8"?>
<Relationships xmlns="http://schemas.openxmlformats.org/package/2006/relationships"><Relationship Id="rId1" Target="../drawings/drawing4.xml" Type="http://schemas.openxmlformats.org/officeDocument/2006/relationships/drawing"></Relationship><Relationship Id="rId2" Target="../media/image1.png" Type="http://schemas.openxmlformats.org/officeDocument/2006/relationships/image"></Relationship></Relationships>
</file>

<file path=xl/worksheets/_rels/sheet11.xml.rels><?xml version="1.0" encoding="UTF-8"?>
<Relationships xmlns="http://schemas.openxmlformats.org/package/2006/relationships"><Relationship Id="rId1" Target="../media/image1.png" Type="http://schemas.openxmlformats.org/officeDocument/2006/relationships/image"></Relationship></Relationships>
</file>

<file path=xl/worksheets/_rels/sheet12.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2"/>
  <sheetViews>
    <sheetView topLeftCell="AB1" zoomScale="70" zoomScaleNormal="70" workbookViewId="0">
      <selection activeCell="Z1" sqref="Z1:AR22"/>
    </sheetView>
  </sheetViews>
  <sheetFormatPr defaultColWidth="9" defaultRowHeight="14"/>
  <cols>
    <col customWidth="true" max="1" min="1" style="16" width="11.8181818181818"/>
    <col customWidth="true" max="2" min="2" style="16" width="10.4545454545455"/>
    <col max="23" min="3" style="16" width="9"/>
    <col customWidth="true" max="24" min="24" style="16" width="25.5727272727273"/>
    <col customWidth="true" max="25" min="25" style="16" width="27.7818181818182"/>
    <col customWidth="true" max="26" min="26" style="16" width="17.3272727272727"/>
    <col max="16384" min="27" style="16" width="9"/>
  </cols>
  <sheetData>
    <row r="1" spans="1:44">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c r="W1" s="16" t="s">
        <v>22</v>
      </c>
      <c r="X1" s="16" t="s">
        <v>23</v>
      </c>
      <c r="Y1" s="16"/>
      <c r="Z1" s="18"/>
      <c r="AA1" s="18"/>
      <c r="AB1" s="18"/>
      <c r="AC1" s="18"/>
      <c r="AD1" s="18"/>
      <c r="AE1" s="18"/>
      <c r="AF1" s="18"/>
      <c r="AG1" s="18"/>
      <c r="AH1" s="18"/>
      <c r="AI1" s="18"/>
      <c r="AJ1" s="18"/>
      <c r="AK1" s="18"/>
      <c r="AL1" s="18"/>
      <c r="AM1" s="18"/>
      <c r="AN1" s="18"/>
      <c r="AO1" s="18"/>
      <c r="AP1" s="18"/>
      <c r="AQ1" s="18"/>
      <c r="AR1" s="18"/>
    </row>
    <row r="2" spans="1:44">
      <c r="A2" s="16">
        <v>1</v>
      </c>
      <c r="B2" s="16">
        <v>1</v>
      </c>
      <c r="C2" s="16">
        <v>1</v>
      </c>
      <c r="D2" s="16">
        <v>0</v>
      </c>
      <c r="E2" s="16">
        <v>1</v>
      </c>
      <c r="F2" s="16">
        <v>0</v>
      </c>
      <c r="G2" s="16">
        <v>1</v>
      </c>
      <c r="H2" s="16">
        <v>1</v>
      </c>
      <c r="I2" s="16">
        <v>0</v>
      </c>
      <c r="J2" s="16">
        <v>0</v>
      </c>
      <c r="K2" s="16">
        <v>0</v>
      </c>
      <c r="L2" s="16">
        <v>1</v>
      </c>
      <c r="M2" s="16">
        <v>1</v>
      </c>
      <c r="N2" s="16">
        <v>1</v>
      </c>
      <c r="O2" s="16">
        <v>1</v>
      </c>
      <c r="P2" s="16">
        <v>0</v>
      </c>
      <c r="Q2" s="16">
        <v>0</v>
      </c>
      <c r="R2" s="16">
        <v>0</v>
      </c>
      <c r="S2" s="16">
        <v>1</v>
      </c>
      <c r="T2" s="16">
        <v>1</v>
      </c>
      <c r="U2" s="16">
        <v>0</v>
      </c>
      <c r="V2" s="16">
        <v>1</v>
      </c>
      <c r="W2" s="16">
        <v>0</v>
      </c>
      <c r="X2" s="16">
        <v>1</v>
      </c>
      <c r="Z2" s="18"/>
      <c r="AA2" s="18"/>
      <c r="AB2" s="18"/>
      <c r="AC2" s="18"/>
      <c r="AD2" s="18"/>
      <c r="AE2" s="18"/>
      <c r="AF2" s="18"/>
      <c r="AG2" s="18"/>
      <c r="AH2" s="18"/>
      <c r="AI2" s="18"/>
      <c r="AJ2" s="18"/>
      <c r="AK2" s="18"/>
      <c r="AL2" s="18"/>
      <c r="AM2" s="18"/>
      <c r="AN2" s="18"/>
      <c r="AO2" s="18"/>
      <c r="AP2" s="18"/>
      <c r="AQ2" s="18"/>
      <c r="AR2" s="18"/>
    </row>
    <row r="3" spans="1:44">
      <c r="A3" s="16">
        <v>2</v>
      </c>
      <c r="B3" s="16">
        <v>1</v>
      </c>
      <c r="C3" s="16">
        <v>1</v>
      </c>
      <c r="D3" s="16">
        <v>1</v>
      </c>
      <c r="E3" s="16">
        <v>0</v>
      </c>
      <c r="F3" s="16">
        <v>0</v>
      </c>
      <c r="G3" s="16">
        <v>1</v>
      </c>
      <c r="H3" s="16">
        <v>1</v>
      </c>
      <c r="I3" s="16">
        <v>0</v>
      </c>
      <c r="J3" s="16">
        <v>1</v>
      </c>
      <c r="K3" s="16">
        <v>1</v>
      </c>
      <c r="L3" s="16">
        <v>0</v>
      </c>
      <c r="M3" s="16">
        <v>1</v>
      </c>
      <c r="N3" s="16">
        <v>1</v>
      </c>
      <c r="O3" s="16">
        <v>0</v>
      </c>
      <c r="P3" s="16">
        <v>0</v>
      </c>
      <c r="Q3" s="16">
        <v>0</v>
      </c>
      <c r="R3" s="16">
        <v>1</v>
      </c>
      <c r="S3" s="16">
        <v>1</v>
      </c>
      <c r="T3" s="16">
        <v>1</v>
      </c>
      <c r="U3" s="16">
        <v>0</v>
      </c>
      <c r="V3" s="16">
        <v>0</v>
      </c>
      <c r="W3" s="16">
        <v>1</v>
      </c>
      <c r="X3" s="16">
        <v>1</v>
      </c>
      <c r="Z3" s="18"/>
      <c r="AA3" s="18"/>
      <c r="AB3" s="18"/>
      <c r="AC3" s="18"/>
      <c r="AD3" s="18"/>
      <c r="AE3" s="18"/>
      <c r="AF3" s="18"/>
      <c r="AG3" s="18"/>
      <c r="AH3" s="18"/>
      <c r="AI3" s="18"/>
      <c r="AJ3" s="18"/>
      <c r="AK3" s="18"/>
      <c r="AL3" s="18"/>
      <c r="AM3" s="18"/>
      <c r="AN3" s="18"/>
      <c r="AO3" s="18"/>
      <c r="AP3" s="18"/>
      <c r="AQ3" s="18"/>
      <c r="AR3" s="18"/>
    </row>
    <row r="4" spans="1:44">
      <c r="A4" s="16">
        <v>3</v>
      </c>
      <c r="B4" s="16">
        <v>1</v>
      </c>
      <c r="C4" s="16">
        <v>1</v>
      </c>
      <c r="D4" s="16">
        <v>0</v>
      </c>
      <c r="E4" s="16">
        <v>1</v>
      </c>
      <c r="F4" s="16">
        <v>1</v>
      </c>
      <c r="G4" s="16">
        <v>1</v>
      </c>
      <c r="H4" s="16">
        <v>1</v>
      </c>
      <c r="I4" s="16">
        <v>0</v>
      </c>
      <c r="J4" s="16">
        <v>0</v>
      </c>
      <c r="K4" s="16">
        <v>1</v>
      </c>
      <c r="L4" s="16">
        <v>1</v>
      </c>
      <c r="M4" s="16">
        <v>1</v>
      </c>
      <c r="N4" s="16">
        <v>1</v>
      </c>
      <c r="O4" s="16">
        <v>1</v>
      </c>
      <c r="P4" s="16">
        <v>1</v>
      </c>
      <c r="Q4" s="16">
        <v>1</v>
      </c>
      <c r="R4" s="16">
        <v>0</v>
      </c>
      <c r="S4" s="16">
        <v>1</v>
      </c>
      <c r="T4" s="16">
        <v>1</v>
      </c>
      <c r="U4" s="16">
        <v>1</v>
      </c>
      <c r="V4" s="16">
        <v>1</v>
      </c>
      <c r="W4" s="16">
        <v>0</v>
      </c>
      <c r="X4" s="16">
        <v>1</v>
      </c>
      <c r="Z4" s="18"/>
      <c r="AA4" s="18"/>
      <c r="AB4" s="18"/>
      <c r="AC4" s="18"/>
      <c r="AD4" s="18"/>
      <c r="AE4" s="18"/>
      <c r="AF4" s="18"/>
      <c r="AG4" s="18"/>
      <c r="AH4" s="18"/>
      <c r="AI4" s="18"/>
      <c r="AJ4" s="18"/>
      <c r="AK4" s="18"/>
      <c r="AL4" s="18"/>
      <c r="AM4" s="18"/>
      <c r="AN4" s="18"/>
      <c r="AO4" s="18"/>
      <c r="AP4" s="18"/>
      <c r="AQ4" s="18"/>
      <c r="AR4" s="18"/>
    </row>
    <row r="5" spans="1:44">
      <c r="A5" s="16">
        <v>4</v>
      </c>
      <c r="B5" s="16">
        <v>1</v>
      </c>
      <c r="C5" s="16">
        <v>1</v>
      </c>
      <c r="D5" s="16">
        <v>0</v>
      </c>
      <c r="E5" s="16">
        <v>1</v>
      </c>
      <c r="F5" s="16">
        <v>1</v>
      </c>
      <c r="G5" s="16">
        <v>1</v>
      </c>
      <c r="H5" s="16">
        <v>1</v>
      </c>
      <c r="I5" s="16">
        <v>0</v>
      </c>
      <c r="J5" s="16">
        <v>1</v>
      </c>
      <c r="K5" s="16">
        <v>1</v>
      </c>
      <c r="L5" s="16">
        <v>0</v>
      </c>
      <c r="M5" s="16">
        <v>1</v>
      </c>
      <c r="N5" s="16">
        <v>1</v>
      </c>
      <c r="O5" s="16">
        <v>1</v>
      </c>
      <c r="P5" s="16">
        <v>1</v>
      </c>
      <c r="Q5" s="16">
        <v>0</v>
      </c>
      <c r="R5" s="16">
        <v>0</v>
      </c>
      <c r="S5" s="16">
        <v>1</v>
      </c>
      <c r="T5" s="16">
        <v>1</v>
      </c>
      <c r="U5" s="16">
        <v>1</v>
      </c>
      <c r="V5" s="16">
        <v>0</v>
      </c>
      <c r="W5" s="16">
        <v>0</v>
      </c>
      <c r="X5" s="16">
        <v>0</v>
      </c>
      <c r="Z5" s="18"/>
      <c r="AA5" s="18"/>
      <c r="AB5" s="18"/>
      <c r="AC5" s="18"/>
      <c r="AD5" s="18"/>
      <c r="AE5" s="18"/>
      <c r="AF5" s="18"/>
      <c r="AG5" s="18"/>
      <c r="AH5" s="18"/>
      <c r="AI5" s="18"/>
      <c r="AJ5" s="18"/>
      <c r="AK5" s="18"/>
      <c r="AL5" s="18"/>
      <c r="AM5" s="18"/>
      <c r="AN5" s="18"/>
      <c r="AO5" s="18"/>
      <c r="AP5" s="18"/>
      <c r="AQ5" s="18"/>
      <c r="AR5" s="18"/>
    </row>
    <row r="6" spans="1:44">
      <c r="A6" s="16">
        <v>5</v>
      </c>
      <c r="B6" s="16">
        <v>1</v>
      </c>
      <c r="C6" s="16">
        <v>1</v>
      </c>
      <c r="D6" s="16">
        <v>0</v>
      </c>
      <c r="E6" s="16">
        <v>1</v>
      </c>
      <c r="F6" s="16">
        <v>1</v>
      </c>
      <c r="G6" s="16">
        <v>1</v>
      </c>
      <c r="H6" s="16">
        <v>1</v>
      </c>
      <c r="I6" s="16">
        <v>0</v>
      </c>
      <c r="J6" s="16">
        <v>0</v>
      </c>
      <c r="K6" s="16">
        <v>1</v>
      </c>
      <c r="L6" s="16">
        <v>0</v>
      </c>
      <c r="M6" s="16">
        <v>1</v>
      </c>
      <c r="N6" s="16">
        <v>1</v>
      </c>
      <c r="O6" s="16">
        <v>1</v>
      </c>
      <c r="P6" s="16">
        <v>1</v>
      </c>
      <c r="Q6" s="16">
        <v>0</v>
      </c>
      <c r="R6" s="16">
        <v>1</v>
      </c>
      <c r="S6" s="16">
        <v>1</v>
      </c>
      <c r="T6" s="16">
        <v>1</v>
      </c>
      <c r="U6" s="16">
        <v>1</v>
      </c>
      <c r="V6" s="16">
        <v>0</v>
      </c>
      <c r="W6" s="16">
        <v>0</v>
      </c>
      <c r="X6" s="16">
        <v>1</v>
      </c>
      <c r="Z6" s="18"/>
      <c r="AA6" s="18"/>
      <c r="AB6" s="18"/>
      <c r="AC6" s="18"/>
      <c r="AD6" s="18"/>
      <c r="AE6" s="18"/>
      <c r="AF6" s="18"/>
      <c r="AG6" s="18"/>
      <c r="AH6" s="18"/>
      <c r="AI6" s="18"/>
      <c r="AJ6" s="18"/>
      <c r="AK6" s="18"/>
      <c r="AL6" s="18"/>
      <c r="AM6" s="18"/>
      <c r="AN6" s="18"/>
      <c r="AO6" s="18"/>
      <c r="AP6" s="18"/>
      <c r="AQ6" s="18"/>
      <c r="AR6" s="18"/>
    </row>
    <row r="7" spans="1:44">
      <c r="A7" s="16">
        <v>6</v>
      </c>
      <c r="B7" s="16">
        <v>1</v>
      </c>
      <c r="C7" s="16">
        <v>1</v>
      </c>
      <c r="D7" s="16">
        <v>1</v>
      </c>
      <c r="E7" s="16">
        <v>1</v>
      </c>
      <c r="F7" s="16">
        <v>1</v>
      </c>
      <c r="G7" s="16">
        <v>1</v>
      </c>
      <c r="H7" s="16">
        <v>1</v>
      </c>
      <c r="I7" s="16">
        <v>1</v>
      </c>
      <c r="J7" s="16">
        <v>0</v>
      </c>
      <c r="K7" s="16">
        <v>1</v>
      </c>
      <c r="L7" s="16">
        <v>1</v>
      </c>
      <c r="M7" s="16">
        <v>1</v>
      </c>
      <c r="N7" s="16">
        <v>1</v>
      </c>
      <c r="O7" s="16">
        <v>0</v>
      </c>
      <c r="P7" s="16">
        <v>0</v>
      </c>
      <c r="Q7" s="16">
        <v>0</v>
      </c>
      <c r="R7" s="16">
        <v>0</v>
      </c>
      <c r="S7" s="16">
        <v>1</v>
      </c>
      <c r="T7" s="16">
        <v>1</v>
      </c>
      <c r="U7" s="16">
        <v>1</v>
      </c>
      <c r="V7" s="16">
        <v>1</v>
      </c>
      <c r="W7" s="16">
        <v>1</v>
      </c>
      <c r="X7" s="16">
        <v>0</v>
      </c>
      <c r="Z7" s="18"/>
      <c r="AA7" s="18"/>
      <c r="AB7" s="18"/>
      <c r="AC7" s="18"/>
      <c r="AD7" s="18"/>
      <c r="AE7" s="18"/>
      <c r="AF7" s="18"/>
      <c r="AG7" s="18"/>
      <c r="AH7" s="18"/>
      <c r="AI7" s="18"/>
      <c r="AJ7" s="18"/>
      <c r="AK7" s="18"/>
      <c r="AL7" s="18"/>
      <c r="AM7" s="18"/>
      <c r="AN7" s="18"/>
      <c r="AO7" s="18"/>
      <c r="AP7" s="18"/>
      <c r="AQ7" s="18"/>
      <c r="AR7" s="18"/>
    </row>
    <row r="8" spans="1:44">
      <c r="A8" s="16">
        <v>7</v>
      </c>
      <c r="B8" s="16">
        <v>1</v>
      </c>
      <c r="C8" s="16">
        <v>1</v>
      </c>
      <c r="D8" s="16">
        <v>0</v>
      </c>
      <c r="E8" s="16">
        <v>1</v>
      </c>
      <c r="F8" s="16">
        <v>1</v>
      </c>
      <c r="G8" s="16">
        <v>1</v>
      </c>
      <c r="H8" s="16">
        <v>1</v>
      </c>
      <c r="I8" s="16">
        <v>1</v>
      </c>
      <c r="J8" s="16">
        <v>1</v>
      </c>
      <c r="K8" s="16">
        <v>1</v>
      </c>
      <c r="L8" s="16">
        <v>1</v>
      </c>
      <c r="M8" s="16">
        <v>1</v>
      </c>
      <c r="N8" s="16">
        <v>1</v>
      </c>
      <c r="O8" s="16">
        <v>0</v>
      </c>
      <c r="P8" s="16">
        <v>1</v>
      </c>
      <c r="Q8" s="16">
        <v>1</v>
      </c>
      <c r="R8" s="16">
        <v>1</v>
      </c>
      <c r="S8" s="16">
        <v>1</v>
      </c>
      <c r="T8" s="16">
        <v>1</v>
      </c>
      <c r="U8" s="16">
        <v>0</v>
      </c>
      <c r="V8" s="16">
        <v>0</v>
      </c>
      <c r="W8" s="16">
        <v>1</v>
      </c>
      <c r="X8" s="16">
        <v>0</v>
      </c>
      <c r="Z8" s="18"/>
      <c r="AA8" s="18"/>
      <c r="AB8" s="18"/>
      <c r="AC8" s="18"/>
      <c r="AD8" s="18"/>
      <c r="AE8" s="18"/>
      <c r="AF8" s="18"/>
      <c r="AG8" s="18"/>
      <c r="AH8" s="18"/>
      <c r="AI8" s="18"/>
      <c r="AJ8" s="18"/>
      <c r="AK8" s="18"/>
      <c r="AL8" s="18"/>
      <c r="AM8" s="18"/>
      <c r="AN8" s="18"/>
      <c r="AO8" s="18"/>
      <c r="AP8" s="18"/>
      <c r="AQ8" s="18"/>
      <c r="AR8" s="18"/>
    </row>
    <row r="9" spans="1:44">
      <c r="A9" s="16">
        <v>8</v>
      </c>
      <c r="B9" s="16">
        <v>1</v>
      </c>
      <c r="C9" s="16">
        <v>1</v>
      </c>
      <c r="D9" s="16">
        <v>0</v>
      </c>
      <c r="E9" s="16">
        <v>1</v>
      </c>
      <c r="F9" s="16">
        <v>0</v>
      </c>
      <c r="G9" s="16">
        <v>1</v>
      </c>
      <c r="H9" s="16">
        <v>1</v>
      </c>
      <c r="I9" s="16">
        <v>0</v>
      </c>
      <c r="J9" s="16">
        <v>0</v>
      </c>
      <c r="K9" s="16">
        <v>1</v>
      </c>
      <c r="L9" s="16">
        <v>0</v>
      </c>
      <c r="M9" s="16">
        <v>1</v>
      </c>
      <c r="N9" s="16">
        <v>1</v>
      </c>
      <c r="O9" s="16">
        <v>0</v>
      </c>
      <c r="P9" s="16">
        <v>0</v>
      </c>
      <c r="Q9" s="16">
        <v>0</v>
      </c>
      <c r="R9" s="16">
        <v>1</v>
      </c>
      <c r="S9" s="16">
        <v>1</v>
      </c>
      <c r="T9" s="16">
        <v>1</v>
      </c>
      <c r="U9" s="16">
        <v>1</v>
      </c>
      <c r="V9" s="16">
        <v>0</v>
      </c>
      <c r="W9" s="16">
        <v>1</v>
      </c>
      <c r="X9" s="16">
        <v>0</v>
      </c>
      <c r="Z9" s="18"/>
      <c r="AA9" s="18"/>
      <c r="AB9" s="18"/>
      <c r="AC9" s="18"/>
      <c r="AD9" s="18"/>
      <c r="AE9" s="18"/>
      <c r="AF9" s="18"/>
      <c r="AG9" s="18"/>
      <c r="AH9" s="18"/>
      <c r="AI9" s="18"/>
      <c r="AJ9" s="18"/>
      <c r="AK9" s="18"/>
      <c r="AL9" s="18"/>
      <c r="AM9" s="18"/>
      <c r="AN9" s="18"/>
      <c r="AO9" s="18"/>
      <c r="AP9" s="18"/>
      <c r="AQ9" s="18"/>
      <c r="AR9" s="18"/>
    </row>
    <row r="10" spans="1:44">
      <c r="A10" s="16">
        <v>9</v>
      </c>
      <c r="B10" s="16">
        <v>1</v>
      </c>
      <c r="C10" s="16">
        <v>1</v>
      </c>
      <c r="D10" s="16">
        <v>0</v>
      </c>
      <c r="E10" s="16">
        <v>1</v>
      </c>
      <c r="F10" s="16">
        <v>1</v>
      </c>
      <c r="G10" s="16">
        <v>1</v>
      </c>
      <c r="H10" s="16">
        <v>1</v>
      </c>
      <c r="I10" s="16">
        <v>1</v>
      </c>
      <c r="J10" s="16">
        <v>1</v>
      </c>
      <c r="K10" s="16">
        <v>1</v>
      </c>
      <c r="L10" s="16">
        <v>1</v>
      </c>
      <c r="M10" s="16">
        <v>1</v>
      </c>
      <c r="N10" s="16">
        <v>1</v>
      </c>
      <c r="O10" s="16">
        <v>0</v>
      </c>
      <c r="P10" s="16">
        <v>0</v>
      </c>
      <c r="Q10" s="16">
        <v>0</v>
      </c>
      <c r="R10" s="16">
        <v>1</v>
      </c>
      <c r="S10" s="16">
        <v>1</v>
      </c>
      <c r="T10" s="16">
        <v>1</v>
      </c>
      <c r="U10" s="16">
        <v>0</v>
      </c>
      <c r="V10" s="16">
        <v>0</v>
      </c>
      <c r="W10" s="16">
        <v>0</v>
      </c>
      <c r="X10" s="16">
        <v>0</v>
      </c>
      <c r="Z10" s="18"/>
      <c r="AA10" s="18"/>
      <c r="AB10" s="18"/>
      <c r="AC10" s="18"/>
      <c r="AD10" s="18"/>
      <c r="AE10" s="18"/>
      <c r="AF10" s="18"/>
      <c r="AG10" s="18"/>
      <c r="AH10" s="18"/>
      <c r="AI10" s="18"/>
      <c r="AJ10" s="18"/>
      <c r="AK10" s="18"/>
      <c r="AL10" s="18"/>
      <c r="AM10" s="18"/>
      <c r="AN10" s="18"/>
      <c r="AO10" s="18"/>
      <c r="AP10" s="18"/>
      <c r="AQ10" s="18"/>
      <c r="AR10" s="18"/>
    </row>
    <row r="11" spans="1:44">
      <c r="A11" s="16">
        <v>10</v>
      </c>
      <c r="B11" s="16">
        <v>1</v>
      </c>
      <c r="C11" s="16">
        <v>1</v>
      </c>
      <c r="D11" s="16">
        <v>1</v>
      </c>
      <c r="E11" s="16">
        <v>1</v>
      </c>
      <c r="F11" s="16">
        <v>1</v>
      </c>
      <c r="G11" s="16">
        <v>1</v>
      </c>
      <c r="H11" s="16">
        <v>1</v>
      </c>
      <c r="I11" s="16">
        <v>1</v>
      </c>
      <c r="J11" s="16">
        <v>1</v>
      </c>
      <c r="K11" s="16">
        <v>0</v>
      </c>
      <c r="L11" s="16">
        <v>1</v>
      </c>
      <c r="M11" s="16">
        <v>1</v>
      </c>
      <c r="N11" s="16">
        <v>1</v>
      </c>
      <c r="O11" s="16">
        <v>1</v>
      </c>
      <c r="P11" s="16">
        <v>1</v>
      </c>
      <c r="Q11" s="16">
        <v>1</v>
      </c>
      <c r="R11" s="16">
        <v>0</v>
      </c>
      <c r="S11" s="16">
        <v>1</v>
      </c>
      <c r="T11" s="16">
        <v>1</v>
      </c>
      <c r="U11" s="16">
        <v>0</v>
      </c>
      <c r="V11" s="16">
        <v>0</v>
      </c>
      <c r="W11" s="16">
        <v>0</v>
      </c>
      <c r="X11" s="16">
        <v>1</v>
      </c>
      <c r="Z11" s="18"/>
      <c r="AA11" s="18"/>
      <c r="AB11" s="18"/>
      <c r="AC11" s="18"/>
      <c r="AD11" s="18"/>
      <c r="AE11" s="18"/>
      <c r="AF11" s="18"/>
      <c r="AG11" s="18"/>
      <c r="AH11" s="18"/>
      <c r="AI11" s="18"/>
      <c r="AJ11" s="18"/>
      <c r="AK11" s="18"/>
      <c r="AL11" s="18"/>
      <c r="AM11" s="18"/>
      <c r="AN11" s="18"/>
      <c r="AO11" s="18"/>
      <c r="AP11" s="18"/>
      <c r="AQ11" s="18"/>
      <c r="AR11" s="18"/>
    </row>
    <row r="12" spans="1:44">
      <c r="A12" s="16">
        <v>11</v>
      </c>
      <c r="B12" s="16">
        <v>1</v>
      </c>
      <c r="C12" s="16">
        <v>1</v>
      </c>
      <c r="D12" s="16">
        <v>0</v>
      </c>
      <c r="E12" s="16">
        <v>0</v>
      </c>
      <c r="F12" s="16">
        <v>0</v>
      </c>
      <c r="G12" s="16">
        <v>1</v>
      </c>
      <c r="H12" s="16">
        <v>1</v>
      </c>
      <c r="I12" s="16">
        <v>1</v>
      </c>
      <c r="J12" s="16">
        <v>1</v>
      </c>
      <c r="K12" s="16">
        <v>1</v>
      </c>
      <c r="L12" s="16">
        <v>1</v>
      </c>
      <c r="M12" s="16">
        <v>1</v>
      </c>
      <c r="N12" s="16">
        <v>1</v>
      </c>
      <c r="O12" s="16">
        <v>0</v>
      </c>
      <c r="P12" s="16">
        <v>1</v>
      </c>
      <c r="Q12" s="16">
        <v>0</v>
      </c>
      <c r="R12" s="16">
        <v>0</v>
      </c>
      <c r="S12" s="16">
        <v>1</v>
      </c>
      <c r="T12" s="16">
        <v>1</v>
      </c>
      <c r="U12" s="16">
        <v>1</v>
      </c>
      <c r="V12" s="16">
        <v>1</v>
      </c>
      <c r="W12" s="16">
        <v>1</v>
      </c>
      <c r="X12" s="16">
        <v>0</v>
      </c>
      <c r="Z12" s="18"/>
      <c r="AA12" s="18"/>
      <c r="AB12" s="18"/>
      <c r="AC12" s="18"/>
      <c r="AD12" s="18"/>
      <c r="AE12" s="18"/>
      <c r="AF12" s="18"/>
      <c r="AG12" s="18"/>
      <c r="AH12" s="18"/>
      <c r="AI12" s="18"/>
      <c r="AJ12" s="18"/>
      <c r="AK12" s="18"/>
      <c r="AL12" s="18"/>
      <c r="AM12" s="18"/>
      <c r="AN12" s="18"/>
      <c r="AO12" s="18"/>
      <c r="AP12" s="18"/>
      <c r="AQ12" s="18"/>
      <c r="AR12" s="18"/>
    </row>
    <row r="13" spans="1:44">
      <c r="A13" s="16">
        <v>12</v>
      </c>
      <c r="B13" s="16">
        <v>1</v>
      </c>
      <c r="C13" s="16">
        <v>1</v>
      </c>
      <c r="D13" s="16">
        <v>0</v>
      </c>
      <c r="E13" s="16">
        <v>0</v>
      </c>
      <c r="F13" s="16">
        <v>1</v>
      </c>
      <c r="G13" s="16">
        <v>1</v>
      </c>
      <c r="H13" s="16">
        <v>1</v>
      </c>
      <c r="I13" s="16">
        <v>1</v>
      </c>
      <c r="J13" s="16">
        <v>1</v>
      </c>
      <c r="K13" s="16">
        <v>0</v>
      </c>
      <c r="L13" s="16">
        <v>0</v>
      </c>
      <c r="M13" s="16">
        <v>1</v>
      </c>
      <c r="N13" s="16">
        <v>1</v>
      </c>
      <c r="O13" s="16">
        <v>0</v>
      </c>
      <c r="P13" s="16">
        <v>0</v>
      </c>
      <c r="Q13" s="16">
        <v>0</v>
      </c>
      <c r="R13" s="16">
        <v>0</v>
      </c>
      <c r="S13" s="16">
        <v>1</v>
      </c>
      <c r="T13" s="16">
        <v>1</v>
      </c>
      <c r="U13" s="16">
        <v>1</v>
      </c>
      <c r="V13" s="16">
        <v>0</v>
      </c>
      <c r="W13" s="16">
        <v>1</v>
      </c>
      <c r="X13" s="16">
        <v>0</v>
      </c>
      <c r="Z13" s="18"/>
      <c r="AA13" s="18"/>
      <c r="AB13" s="18"/>
      <c r="AC13" s="18"/>
      <c r="AD13" s="18"/>
      <c r="AE13" s="18"/>
      <c r="AF13" s="18"/>
      <c r="AG13" s="18"/>
      <c r="AH13" s="18"/>
      <c r="AI13" s="18"/>
      <c r="AJ13" s="18"/>
      <c r="AK13" s="18"/>
      <c r="AL13" s="18"/>
      <c r="AM13" s="18"/>
      <c r="AN13" s="18"/>
      <c r="AO13" s="18"/>
      <c r="AP13" s="18"/>
      <c r="AQ13" s="18"/>
      <c r="AR13" s="18"/>
    </row>
    <row r="14" spans="1:44">
      <c r="A14" s="16">
        <v>13</v>
      </c>
      <c r="B14" s="16">
        <v>1</v>
      </c>
      <c r="C14" s="16">
        <v>1</v>
      </c>
      <c r="D14" s="16">
        <v>0</v>
      </c>
      <c r="E14" s="16">
        <v>1</v>
      </c>
      <c r="F14" s="16">
        <v>0</v>
      </c>
      <c r="G14" s="16">
        <v>1</v>
      </c>
      <c r="H14" s="16">
        <v>1</v>
      </c>
      <c r="I14" s="16">
        <v>0</v>
      </c>
      <c r="J14" s="16">
        <v>1</v>
      </c>
      <c r="K14" s="16">
        <v>1</v>
      </c>
      <c r="L14" s="16">
        <v>0</v>
      </c>
      <c r="M14" s="16">
        <v>1</v>
      </c>
      <c r="N14" s="16">
        <v>1</v>
      </c>
      <c r="O14" s="16">
        <v>0</v>
      </c>
      <c r="P14" s="16">
        <v>0</v>
      </c>
      <c r="Q14" s="16">
        <v>0</v>
      </c>
      <c r="R14" s="16">
        <v>0</v>
      </c>
      <c r="S14" s="16">
        <v>1</v>
      </c>
      <c r="T14" s="16">
        <v>1</v>
      </c>
      <c r="U14" s="16">
        <v>1</v>
      </c>
      <c r="V14" s="16">
        <v>1</v>
      </c>
      <c r="W14" s="16">
        <v>1</v>
      </c>
      <c r="X14" s="16">
        <v>0</v>
      </c>
      <c r="Z14" s="18"/>
      <c r="AA14" s="18"/>
      <c r="AB14" s="18"/>
      <c r="AC14" s="18"/>
      <c r="AD14" s="18"/>
      <c r="AE14" s="18"/>
      <c r="AF14" s="18"/>
      <c r="AG14" s="18"/>
      <c r="AH14" s="18"/>
      <c r="AI14" s="18"/>
      <c r="AJ14" s="18"/>
      <c r="AK14" s="18"/>
      <c r="AL14" s="18"/>
      <c r="AM14" s="18"/>
      <c r="AN14" s="18"/>
      <c r="AO14" s="18"/>
      <c r="AP14" s="18"/>
      <c r="AQ14" s="18"/>
      <c r="AR14" s="18"/>
    </row>
    <row r="15" spans="1:44">
      <c r="A15" s="16">
        <v>14</v>
      </c>
      <c r="B15" s="16">
        <v>1</v>
      </c>
      <c r="C15" s="16">
        <v>1</v>
      </c>
      <c r="D15" s="16">
        <v>0</v>
      </c>
      <c r="E15" s="16">
        <v>1</v>
      </c>
      <c r="F15" s="16">
        <v>1</v>
      </c>
      <c r="G15" s="16">
        <v>1</v>
      </c>
      <c r="H15" s="16">
        <v>1</v>
      </c>
      <c r="I15" s="16">
        <v>1</v>
      </c>
      <c r="J15" s="16">
        <v>1</v>
      </c>
      <c r="K15" s="16">
        <v>1</v>
      </c>
      <c r="L15" s="16">
        <v>0</v>
      </c>
      <c r="M15" s="16">
        <v>1</v>
      </c>
      <c r="N15" s="16">
        <v>1</v>
      </c>
      <c r="O15" s="16">
        <v>0</v>
      </c>
      <c r="P15" s="16">
        <v>1</v>
      </c>
      <c r="Q15" s="16">
        <v>0</v>
      </c>
      <c r="R15" s="16">
        <v>0</v>
      </c>
      <c r="S15" s="16">
        <v>1</v>
      </c>
      <c r="T15" s="16">
        <v>1</v>
      </c>
      <c r="U15" s="16">
        <v>1</v>
      </c>
      <c r="V15" s="16">
        <v>0</v>
      </c>
      <c r="W15" s="16">
        <v>1</v>
      </c>
      <c r="X15" s="16">
        <v>1</v>
      </c>
      <c r="Z15" s="18"/>
      <c r="AA15" s="18"/>
      <c r="AB15" s="18"/>
      <c r="AC15" s="18"/>
      <c r="AD15" s="18"/>
      <c r="AE15" s="18"/>
      <c r="AF15" s="18"/>
      <c r="AG15" s="18"/>
      <c r="AH15" s="18"/>
      <c r="AI15" s="18"/>
      <c r="AJ15" s="18"/>
      <c r="AK15" s="18"/>
      <c r="AL15" s="18"/>
      <c r="AM15" s="18"/>
      <c r="AN15" s="18"/>
      <c r="AO15" s="18"/>
      <c r="AP15" s="18"/>
      <c r="AQ15" s="18"/>
      <c r="AR15" s="18"/>
    </row>
    <row r="16" spans="1:44">
      <c r="A16" s="16">
        <v>15</v>
      </c>
      <c r="B16" s="16">
        <v>1</v>
      </c>
      <c r="C16" s="16">
        <v>1</v>
      </c>
      <c r="D16" s="16">
        <v>1</v>
      </c>
      <c r="E16" s="16">
        <v>1</v>
      </c>
      <c r="F16" s="16">
        <v>0</v>
      </c>
      <c r="G16" s="16">
        <v>1</v>
      </c>
      <c r="H16" s="16">
        <v>1</v>
      </c>
      <c r="I16" s="16">
        <v>0</v>
      </c>
      <c r="J16" s="16">
        <v>1</v>
      </c>
      <c r="K16" s="16">
        <v>0</v>
      </c>
      <c r="L16" s="16">
        <v>0</v>
      </c>
      <c r="M16" s="16">
        <v>1</v>
      </c>
      <c r="N16" s="16">
        <v>1</v>
      </c>
      <c r="O16" s="16">
        <v>0</v>
      </c>
      <c r="P16" s="16">
        <v>1</v>
      </c>
      <c r="Q16" s="16">
        <v>0</v>
      </c>
      <c r="R16" s="16">
        <v>0</v>
      </c>
      <c r="S16" s="16">
        <v>1</v>
      </c>
      <c r="T16" s="16">
        <v>1</v>
      </c>
      <c r="U16" s="16">
        <v>1</v>
      </c>
      <c r="V16" s="16">
        <v>0</v>
      </c>
      <c r="W16" s="16">
        <v>0</v>
      </c>
      <c r="X16" s="16">
        <v>1</v>
      </c>
      <c r="Z16" s="18"/>
      <c r="AA16" s="18"/>
      <c r="AB16" s="18"/>
      <c r="AC16" s="18"/>
      <c r="AD16" s="18"/>
      <c r="AE16" s="18"/>
      <c r="AF16" s="18"/>
      <c r="AG16" s="18"/>
      <c r="AH16" s="18"/>
      <c r="AI16" s="18"/>
      <c r="AJ16" s="18"/>
      <c r="AK16" s="18"/>
      <c r="AL16" s="18"/>
      <c r="AM16" s="18"/>
      <c r="AN16" s="18"/>
      <c r="AO16" s="18"/>
      <c r="AP16" s="18"/>
      <c r="AQ16" s="18"/>
      <c r="AR16" s="18"/>
    </row>
    <row r="17" spans="1:44">
      <c r="A17" s="16">
        <v>16</v>
      </c>
      <c r="B17" s="16">
        <v>1</v>
      </c>
      <c r="C17" s="16">
        <v>1</v>
      </c>
      <c r="D17" s="16">
        <v>0</v>
      </c>
      <c r="E17" s="16">
        <v>0</v>
      </c>
      <c r="F17" s="16">
        <v>1</v>
      </c>
      <c r="G17" s="16">
        <v>1</v>
      </c>
      <c r="H17" s="16">
        <v>1</v>
      </c>
      <c r="I17" s="16">
        <v>1</v>
      </c>
      <c r="J17" s="16">
        <v>1</v>
      </c>
      <c r="K17" s="16">
        <v>1</v>
      </c>
      <c r="L17" s="16">
        <v>0</v>
      </c>
      <c r="M17" s="16">
        <v>1</v>
      </c>
      <c r="N17" s="16">
        <v>1</v>
      </c>
      <c r="O17" s="16">
        <v>1</v>
      </c>
      <c r="P17" s="16">
        <v>1</v>
      </c>
      <c r="Q17" s="16">
        <v>1</v>
      </c>
      <c r="R17" s="16">
        <v>0</v>
      </c>
      <c r="S17" s="16">
        <v>1</v>
      </c>
      <c r="T17" s="16">
        <v>0</v>
      </c>
      <c r="U17" s="16">
        <v>1</v>
      </c>
      <c r="V17" s="16">
        <v>0</v>
      </c>
      <c r="W17" s="16">
        <v>1</v>
      </c>
      <c r="X17" s="16">
        <v>1</v>
      </c>
      <c r="Z17" s="18"/>
      <c r="AA17" s="18"/>
      <c r="AB17" s="18"/>
      <c r="AC17" s="18"/>
      <c r="AD17" s="18"/>
      <c r="AE17" s="18"/>
      <c r="AF17" s="18"/>
      <c r="AG17" s="18"/>
      <c r="AH17" s="18"/>
      <c r="AI17" s="18"/>
      <c r="AJ17" s="18"/>
      <c r="AK17" s="18"/>
      <c r="AL17" s="18"/>
      <c r="AM17" s="18"/>
      <c r="AN17" s="18"/>
      <c r="AO17" s="18"/>
      <c r="AP17" s="18"/>
      <c r="AQ17" s="18"/>
      <c r="AR17" s="18"/>
    </row>
    <row r="18" spans="1:44">
      <c r="A18" s="16">
        <v>17</v>
      </c>
      <c r="B18" s="16">
        <v>1</v>
      </c>
      <c r="C18" s="16">
        <v>1</v>
      </c>
      <c r="D18" s="16">
        <v>1</v>
      </c>
      <c r="E18" s="16">
        <v>1</v>
      </c>
      <c r="F18" s="16">
        <v>1</v>
      </c>
      <c r="G18" s="16">
        <v>1</v>
      </c>
      <c r="H18" s="16">
        <v>1</v>
      </c>
      <c r="I18" s="16">
        <v>1</v>
      </c>
      <c r="J18" s="16">
        <v>1</v>
      </c>
      <c r="K18" s="16">
        <v>0</v>
      </c>
      <c r="L18" s="16">
        <v>0</v>
      </c>
      <c r="M18" s="16">
        <v>1</v>
      </c>
      <c r="N18" s="16">
        <v>1</v>
      </c>
      <c r="O18" s="16">
        <v>0</v>
      </c>
      <c r="P18" s="16">
        <v>0</v>
      </c>
      <c r="Q18" s="16">
        <v>1</v>
      </c>
      <c r="R18" s="16">
        <v>1</v>
      </c>
      <c r="S18" s="16">
        <v>0</v>
      </c>
      <c r="T18" s="16">
        <v>0</v>
      </c>
      <c r="U18" s="16">
        <v>1</v>
      </c>
      <c r="V18" s="16">
        <v>0</v>
      </c>
      <c r="W18" s="16">
        <v>0</v>
      </c>
      <c r="X18" s="16">
        <v>1</v>
      </c>
      <c r="Z18" s="18"/>
      <c r="AA18" s="18"/>
      <c r="AB18" s="18"/>
      <c r="AC18" s="18"/>
      <c r="AD18" s="18"/>
      <c r="AE18" s="18"/>
      <c r="AF18" s="18"/>
      <c r="AG18" s="18"/>
      <c r="AH18" s="18"/>
      <c r="AI18" s="18"/>
      <c r="AJ18" s="18"/>
      <c r="AK18" s="18"/>
      <c r="AL18" s="18"/>
      <c r="AM18" s="18"/>
      <c r="AN18" s="18"/>
      <c r="AO18" s="18"/>
      <c r="AP18" s="18"/>
      <c r="AQ18" s="18"/>
      <c r="AR18" s="18"/>
    </row>
    <row r="19" spans="1:44">
      <c r="A19" s="16">
        <v>18</v>
      </c>
      <c r="B19" s="16">
        <v>1</v>
      </c>
      <c r="C19" s="16">
        <v>1</v>
      </c>
      <c r="D19" s="16">
        <v>1</v>
      </c>
      <c r="E19" s="16">
        <v>0</v>
      </c>
      <c r="F19" s="16">
        <v>0</v>
      </c>
      <c r="G19" s="16">
        <v>1</v>
      </c>
      <c r="H19" s="16">
        <v>1</v>
      </c>
      <c r="I19" s="16">
        <v>1</v>
      </c>
      <c r="J19" s="16">
        <v>1</v>
      </c>
      <c r="K19" s="16">
        <v>1</v>
      </c>
      <c r="L19" s="16">
        <v>0</v>
      </c>
      <c r="M19" s="16">
        <v>1</v>
      </c>
      <c r="N19" s="16">
        <v>1</v>
      </c>
      <c r="O19" s="16">
        <v>1</v>
      </c>
      <c r="P19" s="16">
        <v>0</v>
      </c>
      <c r="Q19" s="16">
        <v>1</v>
      </c>
      <c r="R19" s="16">
        <v>0</v>
      </c>
      <c r="S19" s="16">
        <v>1</v>
      </c>
      <c r="T19" s="16">
        <v>1</v>
      </c>
      <c r="U19" s="16">
        <v>1</v>
      </c>
      <c r="V19" s="16">
        <v>1</v>
      </c>
      <c r="W19" s="16">
        <v>1</v>
      </c>
      <c r="X19" s="16">
        <v>0</v>
      </c>
      <c r="Z19" s="18"/>
      <c r="AA19" s="18"/>
      <c r="AB19" s="18"/>
      <c r="AC19" s="18"/>
      <c r="AD19" s="18"/>
      <c r="AE19" s="18"/>
      <c r="AF19" s="18"/>
      <c r="AG19" s="18"/>
      <c r="AH19" s="18"/>
      <c r="AI19" s="18"/>
      <c r="AJ19" s="18"/>
      <c r="AK19" s="18"/>
      <c r="AL19" s="18"/>
      <c r="AM19" s="18"/>
      <c r="AN19" s="18"/>
      <c r="AO19" s="18"/>
      <c r="AP19" s="18"/>
      <c r="AQ19" s="18"/>
      <c r="AR19" s="18"/>
    </row>
    <row r="20" spans="1:44">
      <c r="A20" s="16">
        <v>19</v>
      </c>
      <c r="B20" s="16">
        <v>1</v>
      </c>
      <c r="C20" s="16">
        <v>1</v>
      </c>
      <c r="D20" s="16">
        <v>1</v>
      </c>
      <c r="E20" s="16">
        <v>0</v>
      </c>
      <c r="F20" s="16">
        <v>0</v>
      </c>
      <c r="G20" s="16">
        <v>1</v>
      </c>
      <c r="H20" s="16">
        <v>0</v>
      </c>
      <c r="I20" s="16">
        <v>0</v>
      </c>
      <c r="J20" s="16">
        <v>1</v>
      </c>
      <c r="K20" s="16">
        <v>1</v>
      </c>
      <c r="L20" s="16">
        <v>0</v>
      </c>
      <c r="M20" s="16">
        <v>0</v>
      </c>
      <c r="N20" s="16">
        <v>0</v>
      </c>
      <c r="O20" s="16">
        <v>0</v>
      </c>
      <c r="P20" s="16">
        <v>0</v>
      </c>
      <c r="Q20" s="16">
        <v>0</v>
      </c>
      <c r="R20" s="16">
        <v>1</v>
      </c>
      <c r="S20" s="16">
        <v>0</v>
      </c>
      <c r="T20" s="16">
        <v>1</v>
      </c>
      <c r="U20" s="16">
        <v>0</v>
      </c>
      <c r="V20" s="16">
        <v>1</v>
      </c>
      <c r="W20" s="16">
        <v>0</v>
      </c>
      <c r="X20" s="16">
        <v>0</v>
      </c>
      <c r="Z20" s="18"/>
      <c r="AA20" s="18"/>
      <c r="AB20" s="18"/>
      <c r="AC20" s="18"/>
      <c r="AD20" s="18"/>
      <c r="AE20" s="18"/>
      <c r="AF20" s="18"/>
      <c r="AG20" s="18"/>
      <c r="AH20" s="18"/>
      <c r="AI20" s="18"/>
      <c r="AJ20" s="18"/>
      <c r="AK20" s="18"/>
      <c r="AL20" s="18"/>
      <c r="AM20" s="18"/>
      <c r="AN20" s="18"/>
      <c r="AO20" s="18"/>
      <c r="AP20" s="18"/>
      <c r="AQ20" s="18"/>
      <c r="AR20" s="18"/>
    </row>
    <row r="21" spans="1:44">
      <c r="A21" s="16">
        <v>20</v>
      </c>
      <c r="B21" s="16">
        <v>1</v>
      </c>
      <c r="C21" s="16">
        <v>1</v>
      </c>
      <c r="D21" s="16">
        <v>0</v>
      </c>
      <c r="E21" s="16">
        <v>0</v>
      </c>
      <c r="F21" s="16">
        <v>0</v>
      </c>
      <c r="G21" s="16">
        <v>1</v>
      </c>
      <c r="H21" s="16">
        <v>1</v>
      </c>
      <c r="I21" s="16">
        <v>1</v>
      </c>
      <c r="J21" s="16">
        <v>0</v>
      </c>
      <c r="K21" s="16">
        <v>0</v>
      </c>
      <c r="L21" s="16">
        <v>0</v>
      </c>
      <c r="M21" s="16">
        <v>0</v>
      </c>
      <c r="N21" s="16">
        <v>0</v>
      </c>
      <c r="O21" s="16">
        <v>1</v>
      </c>
      <c r="P21" s="16">
        <v>0</v>
      </c>
      <c r="Q21" s="16">
        <v>0</v>
      </c>
      <c r="R21" s="16">
        <v>0</v>
      </c>
      <c r="S21" s="16">
        <v>1</v>
      </c>
      <c r="T21" s="16">
        <v>1</v>
      </c>
      <c r="U21" s="16">
        <v>1</v>
      </c>
      <c r="V21" s="16">
        <v>0</v>
      </c>
      <c r="W21" s="16">
        <v>1</v>
      </c>
      <c r="X21" s="16">
        <v>1</v>
      </c>
      <c r="Z21" s="18"/>
      <c r="AA21" s="18"/>
      <c r="AB21" s="18"/>
      <c r="AC21" s="18"/>
      <c r="AD21" s="18"/>
      <c r="AE21" s="18"/>
      <c r="AF21" s="18"/>
      <c r="AG21" s="18"/>
      <c r="AH21" s="18"/>
      <c r="AI21" s="18"/>
      <c r="AJ21" s="18"/>
      <c r="AK21" s="18"/>
      <c r="AL21" s="18"/>
      <c r="AM21" s="18"/>
      <c r="AN21" s="18"/>
      <c r="AO21" s="18"/>
      <c r="AP21" s="18"/>
      <c r="AQ21" s="18"/>
      <c r="AR21" s="18"/>
    </row>
    <row r="22" spans="1:44">
      <c r="Z22" s="18"/>
      <c r="AA22" s="18"/>
      <c r="AB22" s="18"/>
      <c r="AC22" s="18"/>
      <c r="AD22" s="18"/>
      <c r="AE22" s="18"/>
      <c r="AF22" s="18"/>
      <c r="AG22" s="18"/>
      <c r="AH22" s="18"/>
      <c r="AI22" s="18"/>
      <c r="AJ22" s="18"/>
      <c r="AK22" s="18"/>
      <c r="AL22" s="18"/>
      <c r="AM22" s="18"/>
      <c r="AN22" s="18"/>
      <c r="AO22" s="18"/>
      <c r="AP22" s="18"/>
      <c r="AQ22" s="18"/>
      <c r="AR22" s="18"/>
    </row>
  </sheetData>
  <pageMargins left="0.75" right="0.75" top="1" bottom="1" header="0.5" footer="0.5"/>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X21"/>
  <sheetViews>
    <sheetView zoomScale="55" zoomScaleNormal="55" workbookViewId="0">
      <selection activeCell="G32" sqref="G32:H32"/>
    </sheetView>
  </sheetViews>
  <sheetFormatPr defaultColWidth="8.72727272727273" defaultRowHeight="12.5"/>
  <cols>
    <col customWidth="true" max="3" min="2" width="44.1818181818182"/>
    <col customWidth="true" max="5" min="4" width="37.4545454545455"/>
  </cols>
  <sheetData>
    <row r="1" spans="2:24" ht="14">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17" t="s">
        <v>21</v>
      </c>
      <c r="W1" s="17" t="s">
        <v>22</v>
      </c>
      <c r="X1" s="17" t="s">
        <v>23</v>
      </c>
    </row>
    <row r="2" spans="2:24" ht="14">
      <c r="B2" s="17">
        <v>0</v>
      </c>
      <c r="C2" s="17">
        <v>1</v>
      </c>
      <c r="D2" s="17">
        <v>0</v>
      </c>
      <c r="E2" s="17">
        <v>1</v>
      </c>
      <c r="F2" s="17">
        <v>0</v>
      </c>
      <c r="G2" s="17">
        <v>1</v>
      </c>
      <c r="H2" s="17">
        <v>1</v>
      </c>
      <c r="I2" s="17">
        <v>0</v>
      </c>
      <c r="J2" s="17">
        <v>0</v>
      </c>
      <c r="K2" s="17">
        <v>0</v>
      </c>
      <c r="L2" s="17">
        <v>1</v>
      </c>
      <c r="M2" s="17">
        <v>1</v>
      </c>
      <c r="N2" s="17">
        <v>1</v>
      </c>
      <c r="O2" s="17">
        <v>1</v>
      </c>
      <c r="P2" s="17">
        <v>0</v>
      </c>
      <c r="Q2" s="17">
        <v>0</v>
      </c>
      <c r="R2" s="17">
        <v>0</v>
      </c>
      <c r="S2" s="17">
        <v>1</v>
      </c>
      <c r="T2" s="17">
        <v>1</v>
      </c>
      <c r="U2" s="17">
        <v>0</v>
      </c>
      <c r="V2" s="17">
        <v>1</v>
      </c>
      <c r="W2" s="17">
        <v>0</v>
      </c>
      <c r="X2" s="17">
        <v>1</v>
      </c>
    </row>
    <row r="3" spans="2:24" ht="14">
      <c r="B3" s="17">
        <v>1</v>
      </c>
      <c r="C3" s="17">
        <v>0</v>
      </c>
      <c r="D3" s="17">
        <v>1</v>
      </c>
      <c r="E3" s="17">
        <v>0</v>
      </c>
      <c r="F3" s="17">
        <v>0</v>
      </c>
      <c r="G3" s="17">
        <v>1</v>
      </c>
      <c r="H3" s="17">
        <v>1</v>
      </c>
      <c r="I3" s="17">
        <v>0</v>
      </c>
      <c r="J3" s="17">
        <v>1</v>
      </c>
      <c r="K3" s="17">
        <v>1</v>
      </c>
      <c r="L3" s="17">
        <v>0</v>
      </c>
      <c r="M3" s="17">
        <v>1</v>
      </c>
      <c r="N3" s="17">
        <v>1</v>
      </c>
      <c r="O3" s="17">
        <v>0</v>
      </c>
      <c r="P3" s="17">
        <v>0</v>
      </c>
      <c r="Q3" s="17">
        <v>0</v>
      </c>
      <c r="R3" s="17">
        <v>1</v>
      </c>
      <c r="S3" s="17">
        <v>1</v>
      </c>
      <c r="T3" s="17">
        <v>1</v>
      </c>
      <c r="U3" s="17">
        <v>0</v>
      </c>
      <c r="V3" s="17">
        <v>0</v>
      </c>
      <c r="W3" s="17">
        <v>1</v>
      </c>
      <c r="X3" s="17">
        <v>1</v>
      </c>
    </row>
    <row r="4" spans="2:24" ht="14">
      <c r="B4" s="17">
        <v>0</v>
      </c>
      <c r="C4" s="17">
        <v>1</v>
      </c>
      <c r="D4" s="17">
        <v>0</v>
      </c>
      <c r="E4" s="17">
        <v>1</v>
      </c>
      <c r="F4" s="17">
        <v>1</v>
      </c>
      <c r="G4" s="17">
        <v>1</v>
      </c>
      <c r="H4" s="17">
        <v>1</v>
      </c>
      <c r="I4" s="17">
        <v>0</v>
      </c>
      <c r="J4" s="17">
        <v>0</v>
      </c>
      <c r="K4" s="17">
        <v>1</v>
      </c>
      <c r="L4" s="17">
        <v>1</v>
      </c>
      <c r="M4" s="17">
        <v>1</v>
      </c>
      <c r="N4" s="17">
        <v>1</v>
      </c>
      <c r="O4" s="17">
        <v>1</v>
      </c>
      <c r="P4" s="17">
        <v>1</v>
      </c>
      <c r="Q4" s="17">
        <v>1</v>
      </c>
      <c r="R4" s="17">
        <v>0</v>
      </c>
      <c r="S4" s="17">
        <v>1</v>
      </c>
      <c r="T4" s="17">
        <v>1</v>
      </c>
      <c r="U4" s="17">
        <v>1</v>
      </c>
      <c r="V4" s="17">
        <v>1</v>
      </c>
      <c r="W4" s="17">
        <v>0</v>
      </c>
      <c r="X4" s="17">
        <v>1</v>
      </c>
    </row>
    <row r="5" spans="2:24" ht="14">
      <c r="B5" s="17">
        <v>0</v>
      </c>
      <c r="C5" s="17">
        <v>1</v>
      </c>
      <c r="D5" s="17">
        <v>0</v>
      </c>
      <c r="E5" s="17">
        <v>1</v>
      </c>
      <c r="F5" s="17">
        <v>1</v>
      </c>
      <c r="G5" s="17">
        <v>1</v>
      </c>
      <c r="H5" s="17">
        <v>1</v>
      </c>
      <c r="I5" s="17">
        <v>0</v>
      </c>
      <c r="J5" s="17">
        <v>1</v>
      </c>
      <c r="K5" s="17">
        <v>1</v>
      </c>
      <c r="L5" s="17">
        <v>0</v>
      </c>
      <c r="M5" s="17">
        <v>1</v>
      </c>
      <c r="N5" s="17">
        <v>1</v>
      </c>
      <c r="O5" s="17">
        <v>1</v>
      </c>
      <c r="P5" s="17">
        <v>1</v>
      </c>
      <c r="Q5" s="17">
        <v>0</v>
      </c>
      <c r="R5" s="17">
        <v>0</v>
      </c>
      <c r="S5" s="17">
        <v>1</v>
      </c>
      <c r="T5" s="17">
        <v>1</v>
      </c>
      <c r="U5" s="17">
        <v>1</v>
      </c>
      <c r="V5" s="17">
        <v>0</v>
      </c>
      <c r="W5" s="17">
        <v>0</v>
      </c>
      <c r="X5" s="17">
        <v>0</v>
      </c>
    </row>
    <row r="6" spans="2:24" ht="14">
      <c r="B6" s="17">
        <v>0</v>
      </c>
      <c r="C6" s="17">
        <v>1</v>
      </c>
      <c r="D6" s="17">
        <v>0</v>
      </c>
      <c r="E6" s="17">
        <v>1</v>
      </c>
      <c r="F6" s="17">
        <v>1</v>
      </c>
      <c r="G6" s="17">
        <v>1</v>
      </c>
      <c r="H6" s="17">
        <v>1</v>
      </c>
      <c r="I6" s="17">
        <v>0</v>
      </c>
      <c r="J6" s="17">
        <v>0</v>
      </c>
      <c r="K6" s="17">
        <v>1</v>
      </c>
      <c r="L6" s="17">
        <v>0</v>
      </c>
      <c r="M6" s="17">
        <v>1</v>
      </c>
      <c r="N6" s="17">
        <v>1</v>
      </c>
      <c r="O6" s="17">
        <v>1</v>
      </c>
      <c r="P6" s="17">
        <v>1</v>
      </c>
      <c r="Q6" s="17">
        <v>0</v>
      </c>
      <c r="R6" s="17">
        <v>1</v>
      </c>
      <c r="S6" s="17">
        <v>1</v>
      </c>
      <c r="T6" s="17">
        <v>1</v>
      </c>
      <c r="U6" s="17">
        <v>1</v>
      </c>
      <c r="V6" s="17">
        <v>0</v>
      </c>
      <c r="W6" s="17">
        <v>0</v>
      </c>
      <c r="X6" s="17">
        <v>1</v>
      </c>
    </row>
    <row r="7" spans="2:24" ht="14">
      <c r="B7" s="17">
        <v>1</v>
      </c>
      <c r="C7" s="17">
        <v>1</v>
      </c>
      <c r="D7" s="17">
        <v>1</v>
      </c>
      <c r="E7" s="17">
        <v>1</v>
      </c>
      <c r="F7" s="17">
        <v>1</v>
      </c>
      <c r="G7" s="17">
        <v>1</v>
      </c>
      <c r="H7" s="17">
        <v>1</v>
      </c>
      <c r="I7" s="17">
        <v>1</v>
      </c>
      <c r="J7" s="17">
        <v>0</v>
      </c>
      <c r="K7" s="17">
        <v>1</v>
      </c>
      <c r="L7" s="17">
        <v>1</v>
      </c>
      <c r="M7" s="17">
        <v>1</v>
      </c>
      <c r="N7" s="17">
        <v>1</v>
      </c>
      <c r="O7" s="17">
        <v>0</v>
      </c>
      <c r="P7" s="17">
        <v>0</v>
      </c>
      <c r="Q7" s="17">
        <v>0</v>
      </c>
      <c r="R7" s="17">
        <v>0</v>
      </c>
      <c r="S7" s="17">
        <v>1</v>
      </c>
      <c r="T7" s="17">
        <v>1</v>
      </c>
      <c r="U7" s="17">
        <v>1</v>
      </c>
      <c r="V7" s="17">
        <v>1</v>
      </c>
      <c r="W7" s="17">
        <v>1</v>
      </c>
      <c r="X7" s="17">
        <v>0</v>
      </c>
    </row>
    <row r="8" spans="2:24" ht="14">
      <c r="B8" s="17">
        <v>0</v>
      </c>
      <c r="C8" s="17">
        <v>1</v>
      </c>
      <c r="D8" s="17">
        <v>0</v>
      </c>
      <c r="E8" s="17">
        <v>1</v>
      </c>
      <c r="F8" s="17">
        <v>1</v>
      </c>
      <c r="G8" s="17">
        <v>1</v>
      </c>
      <c r="H8" s="17">
        <v>1</v>
      </c>
      <c r="I8" s="17">
        <v>1</v>
      </c>
      <c r="J8" s="17">
        <v>1</v>
      </c>
      <c r="K8" s="17">
        <v>1</v>
      </c>
      <c r="L8" s="17">
        <v>1</v>
      </c>
      <c r="M8" s="17">
        <v>1</v>
      </c>
      <c r="N8" s="17">
        <v>1</v>
      </c>
      <c r="O8" s="17">
        <v>0</v>
      </c>
      <c r="P8" s="17">
        <v>1</v>
      </c>
      <c r="Q8" s="17">
        <v>1</v>
      </c>
      <c r="R8" s="17">
        <v>1</v>
      </c>
      <c r="S8" s="17">
        <v>1</v>
      </c>
      <c r="T8" s="17">
        <v>1</v>
      </c>
      <c r="U8" s="17">
        <v>0</v>
      </c>
      <c r="V8" s="17">
        <v>0</v>
      </c>
      <c r="W8" s="17">
        <v>1</v>
      </c>
      <c r="X8" s="17">
        <v>0</v>
      </c>
    </row>
    <row r="9" spans="2:24" ht="14">
      <c r="B9" s="17">
        <v>0</v>
      </c>
      <c r="C9" s="17">
        <v>1</v>
      </c>
      <c r="D9" s="17">
        <v>0</v>
      </c>
      <c r="E9" s="17">
        <v>1</v>
      </c>
      <c r="F9" s="17">
        <v>0</v>
      </c>
      <c r="G9" s="17">
        <v>1</v>
      </c>
      <c r="H9" s="17">
        <v>1</v>
      </c>
      <c r="I9" s="17">
        <v>0</v>
      </c>
      <c r="J9" s="17">
        <v>0</v>
      </c>
      <c r="K9" s="17">
        <v>1</v>
      </c>
      <c r="L9" s="17">
        <v>0</v>
      </c>
      <c r="M9" s="17">
        <v>1</v>
      </c>
      <c r="N9" s="17">
        <v>1</v>
      </c>
      <c r="O9" s="17">
        <v>0</v>
      </c>
      <c r="P9" s="17">
        <v>0</v>
      </c>
      <c r="Q9" s="17">
        <v>0</v>
      </c>
      <c r="R9" s="17">
        <v>1</v>
      </c>
      <c r="S9" s="17">
        <v>1</v>
      </c>
      <c r="T9" s="17">
        <v>1</v>
      </c>
      <c r="U9" s="17">
        <v>1</v>
      </c>
      <c r="V9" s="17">
        <v>0</v>
      </c>
      <c r="W9" s="17">
        <v>1</v>
      </c>
      <c r="X9" s="17">
        <v>0</v>
      </c>
    </row>
    <row r="10" spans="2:24" ht="14">
      <c r="B10" s="17">
        <v>0</v>
      </c>
      <c r="C10" s="17">
        <v>1</v>
      </c>
      <c r="D10" s="17">
        <v>0</v>
      </c>
      <c r="E10" s="17">
        <v>1</v>
      </c>
      <c r="F10" s="17">
        <v>1</v>
      </c>
      <c r="G10" s="17">
        <v>1</v>
      </c>
      <c r="H10" s="17">
        <v>1</v>
      </c>
      <c r="I10" s="17">
        <v>1</v>
      </c>
      <c r="J10" s="17">
        <v>1</v>
      </c>
      <c r="K10" s="17">
        <v>1</v>
      </c>
      <c r="L10" s="17">
        <v>1</v>
      </c>
      <c r="M10" s="17">
        <v>1</v>
      </c>
      <c r="N10" s="17">
        <v>1</v>
      </c>
      <c r="O10" s="17">
        <v>0</v>
      </c>
      <c r="P10" s="17">
        <v>0</v>
      </c>
      <c r="Q10" s="17">
        <v>0</v>
      </c>
      <c r="R10" s="17">
        <v>1</v>
      </c>
      <c r="S10" s="17">
        <v>1</v>
      </c>
      <c r="T10" s="17">
        <v>1</v>
      </c>
      <c r="U10" s="17">
        <v>0</v>
      </c>
      <c r="V10" s="17">
        <v>0</v>
      </c>
      <c r="W10" s="17">
        <v>0</v>
      </c>
      <c r="X10" s="17">
        <v>0</v>
      </c>
    </row>
    <row r="11" spans="2:24" ht="14">
      <c r="B11" s="17">
        <v>1</v>
      </c>
      <c r="C11" s="17">
        <v>1</v>
      </c>
      <c r="D11" s="17">
        <v>1</v>
      </c>
      <c r="E11" s="17">
        <v>1</v>
      </c>
      <c r="F11" s="17">
        <v>1</v>
      </c>
      <c r="G11" s="17">
        <v>1</v>
      </c>
      <c r="H11" s="17">
        <v>1</v>
      </c>
      <c r="I11" s="17">
        <v>1</v>
      </c>
      <c r="J11" s="17">
        <v>1</v>
      </c>
      <c r="K11" s="17">
        <v>0</v>
      </c>
      <c r="L11" s="17">
        <v>1</v>
      </c>
      <c r="M11" s="17">
        <v>1</v>
      </c>
      <c r="N11" s="17">
        <v>1</v>
      </c>
      <c r="O11" s="17">
        <v>1</v>
      </c>
      <c r="P11" s="17">
        <v>1</v>
      </c>
      <c r="Q11" s="17">
        <v>1</v>
      </c>
      <c r="R11" s="17">
        <v>0</v>
      </c>
      <c r="S11" s="17">
        <v>1</v>
      </c>
      <c r="T11" s="17">
        <v>1</v>
      </c>
      <c r="U11" s="17">
        <v>0</v>
      </c>
      <c r="V11" s="17">
        <v>0</v>
      </c>
      <c r="W11" s="17">
        <v>0</v>
      </c>
      <c r="X11" s="17">
        <v>1</v>
      </c>
    </row>
    <row r="12" spans="2:24" ht="14">
      <c r="B12" s="17">
        <v>0</v>
      </c>
      <c r="C12" s="17">
        <v>0</v>
      </c>
      <c r="D12" s="17">
        <v>0</v>
      </c>
      <c r="E12" s="17">
        <v>0</v>
      </c>
      <c r="F12" s="17">
        <v>0</v>
      </c>
      <c r="G12" s="17">
        <v>1</v>
      </c>
      <c r="H12" s="17">
        <v>1</v>
      </c>
      <c r="I12" s="17">
        <v>1</v>
      </c>
      <c r="J12" s="17">
        <v>1</v>
      </c>
      <c r="K12" s="17">
        <v>1</v>
      </c>
      <c r="L12" s="17">
        <v>1</v>
      </c>
      <c r="M12" s="17">
        <v>1</v>
      </c>
      <c r="N12" s="17">
        <v>1</v>
      </c>
      <c r="O12" s="17">
        <v>0</v>
      </c>
      <c r="P12" s="17">
        <v>1</v>
      </c>
      <c r="Q12" s="17">
        <v>0</v>
      </c>
      <c r="R12" s="17">
        <v>0</v>
      </c>
      <c r="S12" s="17">
        <v>1</v>
      </c>
      <c r="T12" s="17">
        <v>1</v>
      </c>
      <c r="U12" s="17">
        <v>1</v>
      </c>
      <c r="V12" s="17">
        <v>1</v>
      </c>
      <c r="W12" s="17">
        <v>1</v>
      </c>
      <c r="X12" s="17">
        <v>0</v>
      </c>
    </row>
    <row r="13" spans="2:24" ht="14">
      <c r="B13" s="17">
        <v>1</v>
      </c>
      <c r="C13" s="17">
        <v>1</v>
      </c>
      <c r="D13" s="17">
        <v>1</v>
      </c>
      <c r="E13" s="17">
        <v>1</v>
      </c>
      <c r="F13" s="17">
        <v>1</v>
      </c>
      <c r="G13" s="17">
        <v>1</v>
      </c>
      <c r="H13" s="17">
        <v>1</v>
      </c>
      <c r="I13" s="17">
        <v>1</v>
      </c>
      <c r="J13" s="17">
        <v>1</v>
      </c>
      <c r="K13" s="17">
        <v>0</v>
      </c>
      <c r="L13" s="17">
        <v>0</v>
      </c>
      <c r="M13" s="17">
        <v>1</v>
      </c>
      <c r="N13" s="17">
        <v>1</v>
      </c>
      <c r="O13" s="17">
        <v>0</v>
      </c>
      <c r="P13" s="17">
        <v>0</v>
      </c>
      <c r="Q13" s="17">
        <v>0</v>
      </c>
      <c r="R13" s="17">
        <v>0</v>
      </c>
      <c r="S13" s="17">
        <v>1</v>
      </c>
      <c r="T13" s="17">
        <v>1</v>
      </c>
      <c r="U13" s="17">
        <v>1</v>
      </c>
      <c r="V13" s="17">
        <v>0</v>
      </c>
      <c r="W13" s="17">
        <v>1</v>
      </c>
      <c r="X13" s="17">
        <v>0</v>
      </c>
    </row>
    <row r="14" spans="2:24" ht="14">
      <c r="B14" s="17">
        <v>1</v>
      </c>
      <c r="C14" s="17">
        <v>1</v>
      </c>
      <c r="D14" s="17">
        <v>1</v>
      </c>
      <c r="E14" s="17">
        <v>1</v>
      </c>
      <c r="F14" s="17">
        <v>0</v>
      </c>
      <c r="G14" s="17">
        <v>1</v>
      </c>
      <c r="H14" s="17">
        <v>1</v>
      </c>
      <c r="I14" s="17">
        <v>0</v>
      </c>
      <c r="J14" s="17">
        <v>1</v>
      </c>
      <c r="K14" s="17">
        <v>1</v>
      </c>
      <c r="L14" s="17">
        <v>0</v>
      </c>
      <c r="M14" s="17">
        <v>1</v>
      </c>
      <c r="N14" s="17">
        <v>1</v>
      </c>
      <c r="O14" s="17">
        <v>0</v>
      </c>
      <c r="P14" s="17">
        <v>0</v>
      </c>
      <c r="Q14" s="17">
        <v>0</v>
      </c>
      <c r="R14" s="17">
        <v>0</v>
      </c>
      <c r="S14" s="17">
        <v>1</v>
      </c>
      <c r="T14" s="17">
        <v>1</v>
      </c>
      <c r="U14" s="17">
        <v>1</v>
      </c>
      <c r="V14" s="17">
        <v>1</v>
      </c>
      <c r="W14" s="17">
        <v>1</v>
      </c>
      <c r="X14" s="17">
        <v>0</v>
      </c>
    </row>
    <row r="15" spans="2:24" ht="14">
      <c r="B15" s="17">
        <v>1</v>
      </c>
      <c r="C15" s="17">
        <v>1</v>
      </c>
      <c r="D15" s="17">
        <v>0</v>
      </c>
      <c r="E15" s="17">
        <v>1</v>
      </c>
      <c r="F15" s="17">
        <v>1</v>
      </c>
      <c r="G15" s="17">
        <v>1</v>
      </c>
      <c r="H15" s="17">
        <v>1</v>
      </c>
      <c r="I15" s="17">
        <v>1</v>
      </c>
      <c r="J15" s="17">
        <v>1</v>
      </c>
      <c r="K15" s="17">
        <v>1</v>
      </c>
      <c r="L15" s="17">
        <v>0</v>
      </c>
      <c r="M15" s="17">
        <v>1</v>
      </c>
      <c r="N15" s="17">
        <v>1</v>
      </c>
      <c r="O15" s="17">
        <v>0</v>
      </c>
      <c r="P15" s="17">
        <v>1</v>
      </c>
      <c r="Q15" s="17">
        <v>0</v>
      </c>
      <c r="R15" s="17">
        <v>0</v>
      </c>
      <c r="S15" s="17">
        <v>1</v>
      </c>
      <c r="T15" s="17">
        <v>1</v>
      </c>
      <c r="U15" s="17">
        <v>1</v>
      </c>
      <c r="V15" s="17">
        <v>0</v>
      </c>
      <c r="W15" s="17">
        <v>1</v>
      </c>
      <c r="X15" s="17">
        <v>1</v>
      </c>
    </row>
    <row r="16" spans="2:24" ht="14">
      <c r="B16" s="17">
        <v>1</v>
      </c>
      <c r="C16" s="17">
        <v>1</v>
      </c>
      <c r="D16" s="17">
        <v>1</v>
      </c>
      <c r="E16" s="17">
        <v>1</v>
      </c>
      <c r="F16" s="17">
        <v>0</v>
      </c>
      <c r="G16" s="17">
        <v>1</v>
      </c>
      <c r="H16" s="17">
        <v>1</v>
      </c>
      <c r="I16" s="17">
        <v>0</v>
      </c>
      <c r="J16" s="17">
        <v>1</v>
      </c>
      <c r="K16" s="17">
        <v>0</v>
      </c>
      <c r="L16" s="17">
        <v>0</v>
      </c>
      <c r="M16" s="17">
        <v>1</v>
      </c>
      <c r="N16" s="17">
        <v>1</v>
      </c>
      <c r="O16" s="17">
        <v>0</v>
      </c>
      <c r="P16" s="17">
        <v>1</v>
      </c>
      <c r="Q16" s="17">
        <v>0</v>
      </c>
      <c r="R16" s="17">
        <v>0</v>
      </c>
      <c r="S16" s="17">
        <v>1</v>
      </c>
      <c r="T16" s="17">
        <v>1</v>
      </c>
      <c r="U16" s="17">
        <v>1</v>
      </c>
      <c r="V16" s="17">
        <v>0</v>
      </c>
      <c r="W16" s="17">
        <v>0</v>
      </c>
      <c r="X16" s="17">
        <v>1</v>
      </c>
    </row>
    <row r="17" spans="2:24" ht="14">
      <c r="B17" s="17">
        <v>1</v>
      </c>
      <c r="C17" s="17">
        <v>0</v>
      </c>
      <c r="D17" s="17">
        <v>0</v>
      </c>
      <c r="E17" s="17">
        <v>1</v>
      </c>
      <c r="F17" s="17">
        <v>1</v>
      </c>
      <c r="G17" s="17">
        <v>1</v>
      </c>
      <c r="H17" s="17">
        <v>1</v>
      </c>
      <c r="I17" s="17">
        <v>1</v>
      </c>
      <c r="J17" s="17">
        <v>1</v>
      </c>
      <c r="K17" s="17">
        <v>1</v>
      </c>
      <c r="L17" s="17">
        <v>0</v>
      </c>
      <c r="M17" s="17">
        <v>1</v>
      </c>
      <c r="N17" s="17">
        <v>1</v>
      </c>
      <c r="O17" s="17">
        <v>1</v>
      </c>
      <c r="P17" s="17">
        <v>1</v>
      </c>
      <c r="Q17" s="17">
        <v>1</v>
      </c>
      <c r="R17" s="17">
        <v>0</v>
      </c>
      <c r="S17" s="17">
        <v>1</v>
      </c>
      <c r="T17" s="17">
        <v>0</v>
      </c>
      <c r="U17" s="17">
        <v>1</v>
      </c>
      <c r="V17" s="17">
        <v>0</v>
      </c>
      <c r="W17" s="17">
        <v>1</v>
      </c>
      <c r="X17" s="17">
        <v>1</v>
      </c>
    </row>
    <row r="18" spans="2:24" ht="14">
      <c r="B18" s="17">
        <v>1</v>
      </c>
      <c r="C18" s="17">
        <v>1</v>
      </c>
      <c r="D18" s="17">
        <v>1</v>
      </c>
      <c r="E18" s="17">
        <v>1</v>
      </c>
      <c r="F18" s="17">
        <v>1</v>
      </c>
      <c r="G18" s="17">
        <v>1</v>
      </c>
      <c r="H18" s="17">
        <v>1</v>
      </c>
      <c r="I18" s="17">
        <v>1</v>
      </c>
      <c r="J18" s="17">
        <v>1</v>
      </c>
      <c r="K18" s="17">
        <v>0</v>
      </c>
      <c r="L18" s="17">
        <v>0</v>
      </c>
      <c r="M18" s="17">
        <v>1</v>
      </c>
      <c r="N18" s="17">
        <v>1</v>
      </c>
      <c r="O18" s="17">
        <v>0</v>
      </c>
      <c r="P18" s="17">
        <v>0</v>
      </c>
      <c r="Q18" s="17">
        <v>1</v>
      </c>
      <c r="R18" s="17">
        <v>1</v>
      </c>
      <c r="S18" s="17">
        <v>0</v>
      </c>
      <c r="T18" s="17">
        <v>0</v>
      </c>
      <c r="U18" s="17">
        <v>1</v>
      </c>
      <c r="V18" s="17">
        <v>0</v>
      </c>
      <c r="W18" s="17">
        <v>0</v>
      </c>
      <c r="X18" s="17">
        <v>1</v>
      </c>
    </row>
    <row r="19" spans="2:24" ht="14">
      <c r="B19" s="17">
        <v>1</v>
      </c>
      <c r="C19" s="17">
        <v>0</v>
      </c>
      <c r="D19" s="17">
        <v>1</v>
      </c>
      <c r="E19" s="17">
        <v>0</v>
      </c>
      <c r="F19" s="17">
        <v>0</v>
      </c>
      <c r="G19" s="17">
        <v>1</v>
      </c>
      <c r="H19" s="17">
        <v>1</v>
      </c>
      <c r="I19" s="17">
        <v>1</v>
      </c>
      <c r="J19" s="17">
        <v>1</v>
      </c>
      <c r="K19" s="17">
        <v>1</v>
      </c>
      <c r="L19" s="17">
        <v>0</v>
      </c>
      <c r="M19" s="17">
        <v>1</v>
      </c>
      <c r="N19" s="17">
        <v>1</v>
      </c>
      <c r="O19" s="17">
        <v>1</v>
      </c>
      <c r="P19" s="17">
        <v>0</v>
      </c>
      <c r="Q19" s="17">
        <v>1</v>
      </c>
      <c r="R19" s="17">
        <v>0</v>
      </c>
      <c r="S19" s="17">
        <v>1</v>
      </c>
      <c r="T19" s="17">
        <v>1</v>
      </c>
      <c r="U19" s="17">
        <v>1</v>
      </c>
      <c r="V19" s="17">
        <v>1</v>
      </c>
      <c r="W19" s="17">
        <v>1</v>
      </c>
      <c r="X19" s="17">
        <v>0</v>
      </c>
    </row>
    <row r="20" spans="2:24" ht="14">
      <c r="B20" s="17">
        <v>1</v>
      </c>
      <c r="C20" s="17">
        <v>0</v>
      </c>
      <c r="D20" s="17">
        <v>1</v>
      </c>
      <c r="E20" s="17">
        <v>0</v>
      </c>
      <c r="F20" s="17">
        <v>0</v>
      </c>
      <c r="G20" s="17">
        <v>1</v>
      </c>
      <c r="H20" s="17">
        <v>0</v>
      </c>
      <c r="I20" s="17">
        <v>0</v>
      </c>
      <c r="J20" s="17">
        <v>1</v>
      </c>
      <c r="K20" s="17">
        <v>1</v>
      </c>
      <c r="L20" s="17">
        <v>0</v>
      </c>
      <c r="M20" s="17">
        <v>0</v>
      </c>
      <c r="N20" s="17">
        <v>0</v>
      </c>
      <c r="O20" s="17">
        <v>0</v>
      </c>
      <c r="P20" s="17">
        <v>0</v>
      </c>
      <c r="Q20" s="17">
        <v>0</v>
      </c>
      <c r="R20" s="17">
        <v>1</v>
      </c>
      <c r="S20" s="17">
        <v>0</v>
      </c>
      <c r="T20" s="17">
        <v>1</v>
      </c>
      <c r="U20" s="17">
        <v>0</v>
      </c>
      <c r="V20" s="17">
        <v>1</v>
      </c>
      <c r="W20" s="17">
        <v>0</v>
      </c>
      <c r="X20" s="17">
        <v>0</v>
      </c>
    </row>
    <row r="21" spans="2:24" ht="14">
      <c r="B21" s="17">
        <v>0</v>
      </c>
      <c r="C21" s="17">
        <v>0</v>
      </c>
      <c r="D21" s="17">
        <v>0</v>
      </c>
      <c r="E21" s="17">
        <v>0</v>
      </c>
      <c r="F21" s="17">
        <v>0</v>
      </c>
      <c r="G21" s="17">
        <v>1</v>
      </c>
      <c r="H21" s="17">
        <v>1</v>
      </c>
      <c r="I21" s="17">
        <v>1</v>
      </c>
      <c r="J21" s="17">
        <v>0</v>
      </c>
      <c r="K21" s="17">
        <v>0</v>
      </c>
      <c r="L21" s="17">
        <v>0</v>
      </c>
      <c r="M21" s="17">
        <v>0</v>
      </c>
      <c r="N21" s="17">
        <v>0</v>
      </c>
      <c r="O21" s="17">
        <v>1</v>
      </c>
      <c r="P21" s="17">
        <v>0</v>
      </c>
      <c r="Q21" s="17">
        <v>0</v>
      </c>
      <c r="R21" s="17">
        <v>0</v>
      </c>
      <c r="S21" s="17">
        <v>1</v>
      </c>
      <c r="T21" s="17">
        <v>1</v>
      </c>
      <c r="U21" s="17">
        <v>1</v>
      </c>
      <c r="V21" s="17">
        <v>0</v>
      </c>
      <c r="W21" s="17">
        <v>1</v>
      </c>
      <c r="X21" s="17">
        <v>1</v>
      </c>
    </row>
  </sheetData>
  <pageMargins left="0.75" right="0.75" top="1" bottom="1" header="0.5" footer="0.5"/>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2"/>
  <sheetViews>
    <sheetView workbookViewId="0">
      <selection activeCell="B36" sqref="B36"/>
    </sheetView>
  </sheetViews>
  <sheetFormatPr defaultColWidth="8.72727272727273" defaultRowHeight="12.5"/>
  <cols>
    <col customWidth="true" max="1" min="1" width="32.9090909090909"/>
    <col customWidth="true" max="2" min="2" width="35.1818181818182"/>
    <col customWidth="true" max="3" min="3" width="30"/>
    <col customWidth="true" max="4" min="4" width="32.9090909090909"/>
  </cols>
  <sheetData>
    <row r="1" spans="1:19" ht="14">
      <c r="A1" s="16" t="s">
        <v>24</v>
      </c>
      <c r="B1" s="16" t="s">
        <v>25</v>
      </c>
      <c r="C1" s="16" t="s">
        <v>26</v>
      </c>
      <c r="D1" s="16" t="s">
        <v>27</v>
      </c>
      <c r="E1" s="16" t="s">
        <v>28</v>
      </c>
      <c r="F1" s="16" t="s">
        <v>29</v>
      </c>
      <c r="G1" s="16" t="s">
        <v>30</v>
      </c>
      <c r="H1" s="16" t="s">
        <v>31</v>
      </c>
      <c r="I1" s="16" t="s">
        <v>32</v>
      </c>
      <c r="J1" s="16" t="s">
        <v>33</v>
      </c>
      <c r="K1" s="16" t="s">
        <v>34</v>
      </c>
      <c r="L1" s="16" t="s">
        <v>35</v>
      </c>
      <c r="M1" s="16" t="s">
        <v>36</v>
      </c>
      <c r="N1" s="16" t="s">
        <v>37</v>
      </c>
      <c r="O1" s="16" t="s">
        <v>38</v>
      </c>
      <c r="P1" s="16" t="s">
        <v>39</v>
      </c>
      <c r="Q1" s="16" t="s">
        <v>40</v>
      </c>
      <c r="R1" s="16" t="s">
        <v>41</v>
      </c>
      <c r="S1" s="16" t="s">
        <v>42</v>
      </c>
    </row>
    <row r="2" spans="1:19" ht="14">
      <c r="A2" s="16" t="s">
        <v>43</v>
      </c>
      <c r="B2" s="16" t="s">
        <v>43</v>
      </c>
      <c r="C2" s="16" t="s">
        <v>44</v>
      </c>
      <c r="D2" s="16" t="s">
        <v>43</v>
      </c>
      <c r="E2" s="16" t="s">
        <v>45</v>
      </c>
      <c r="F2" s="16" t="s">
        <v>45</v>
      </c>
      <c r="G2" s="16" t="s">
        <v>46</v>
      </c>
      <c r="H2" s="16" t="s">
        <v>44</v>
      </c>
      <c r="I2" s="16" t="s">
        <v>47</v>
      </c>
      <c r="J2" s="16" t="s">
        <v>45</v>
      </c>
      <c r="K2" s="16" t="s">
        <v>46</v>
      </c>
      <c r="L2" s="16" t="s">
        <v>45</v>
      </c>
      <c r="M2" s="16" t="s">
        <v>45</v>
      </c>
      <c r="N2" s="16" t="s">
        <v>44</v>
      </c>
      <c r="O2" s="16" t="s">
        <v>43</v>
      </c>
      <c r="P2" s="16" t="s">
        <v>46</v>
      </c>
      <c r="Q2" s="16" t="s">
        <v>46</v>
      </c>
      <c r="R2" s="16" t="s">
        <v>47</v>
      </c>
      <c r="S2" s="16" t="s">
        <v>44</v>
      </c>
    </row>
    <row r="3" spans="1:19" ht="14">
      <c r="A3" s="16" t="s">
        <v>44</v>
      </c>
      <c r="B3" s="16" t="s">
        <v>44</v>
      </c>
      <c r="C3" s="16" t="s">
        <v>43</v>
      </c>
      <c r="D3" s="16" t="s">
        <v>43</v>
      </c>
      <c r="E3" s="16" t="s">
        <v>45</v>
      </c>
      <c r="F3" s="16" t="s">
        <v>45</v>
      </c>
      <c r="G3" s="16" t="s">
        <v>46</v>
      </c>
      <c r="H3" s="16" t="s">
        <v>44</v>
      </c>
      <c r="I3" s="16" t="s">
        <v>47</v>
      </c>
      <c r="J3" s="16" t="s">
        <v>47</v>
      </c>
      <c r="K3" s="16" t="s">
        <v>44</v>
      </c>
      <c r="L3" s="16" t="s">
        <v>46</v>
      </c>
      <c r="M3" s="16" t="s">
        <v>45</v>
      </c>
      <c r="N3" s="16" t="s">
        <v>43</v>
      </c>
      <c r="O3" s="16" t="s">
        <v>44</v>
      </c>
      <c r="P3" s="16" t="s">
        <v>43</v>
      </c>
      <c r="Q3" s="16" t="s">
        <v>43</v>
      </c>
      <c r="R3" s="16" t="s">
        <v>47</v>
      </c>
      <c r="S3" s="16" t="s">
        <v>43</v>
      </c>
    </row>
    <row r="4" spans="1:19" ht="14">
      <c r="A4" s="16" t="s">
        <v>44</v>
      </c>
      <c r="B4" s="16" t="s">
        <v>43</v>
      </c>
      <c r="C4" s="16" t="s">
        <v>43</v>
      </c>
      <c r="D4" s="16" t="s">
        <v>43</v>
      </c>
      <c r="E4" s="16" t="s">
        <v>45</v>
      </c>
      <c r="F4" s="16" t="s">
        <v>45</v>
      </c>
      <c r="G4" s="16" t="s">
        <v>43</v>
      </c>
      <c r="H4" s="16" t="s">
        <v>44</v>
      </c>
      <c r="I4" s="16" t="s">
        <v>46</v>
      </c>
      <c r="J4" s="16" t="s">
        <v>47</v>
      </c>
      <c r="K4" s="16" t="s">
        <v>45</v>
      </c>
      <c r="L4" s="16" t="s">
        <v>46</v>
      </c>
      <c r="M4" s="16" t="s">
        <v>45</v>
      </c>
      <c r="N4" s="16" t="s">
        <v>44</v>
      </c>
      <c r="O4" s="16" t="s">
        <v>44</v>
      </c>
      <c r="P4" s="16" t="s">
        <v>43</v>
      </c>
      <c r="Q4" s="16" t="s">
        <v>44</v>
      </c>
      <c r="R4" s="16" t="s">
        <v>47</v>
      </c>
      <c r="S4" s="16" t="s">
        <v>44</v>
      </c>
    </row>
    <row r="5" spans="1:19" ht="14">
      <c r="A5" s="16" t="s">
        <v>43</v>
      </c>
      <c r="B5" s="16" t="s">
        <v>44</v>
      </c>
      <c r="C5" s="16" t="s">
        <v>43</v>
      </c>
      <c r="D5" s="16" t="s">
        <v>43</v>
      </c>
      <c r="E5" s="16" t="s">
        <v>47</v>
      </c>
      <c r="F5" s="16" t="s">
        <v>47</v>
      </c>
      <c r="G5" s="16" t="s">
        <v>46</v>
      </c>
      <c r="H5" s="16" t="s">
        <v>44</v>
      </c>
      <c r="I5" s="16" t="s">
        <v>47</v>
      </c>
      <c r="J5" s="16" t="s">
        <v>44</v>
      </c>
      <c r="K5" s="16" t="s">
        <v>45</v>
      </c>
      <c r="L5" s="16" t="s">
        <v>47</v>
      </c>
      <c r="M5" s="16" t="s">
        <v>46</v>
      </c>
      <c r="N5" s="16" t="s">
        <v>43</v>
      </c>
      <c r="O5" s="16" t="s">
        <v>43</v>
      </c>
      <c r="P5" s="16" t="s">
        <v>44</v>
      </c>
      <c r="Q5" s="16" t="s">
        <v>46</v>
      </c>
      <c r="R5" s="16" t="s">
        <v>45</v>
      </c>
      <c r="S5" s="16" t="s">
        <v>43</v>
      </c>
    </row>
    <row r="6" spans="1:19" ht="14">
      <c r="A6" s="16" t="s">
        <v>43</v>
      </c>
      <c r="B6" s="16" t="s">
        <v>43</v>
      </c>
      <c r="C6" s="16" t="s">
        <v>44</v>
      </c>
      <c r="D6" s="16" t="s">
        <v>43</v>
      </c>
      <c r="E6" s="16" t="s">
        <v>45</v>
      </c>
      <c r="F6" s="16" t="s">
        <v>47</v>
      </c>
      <c r="G6" s="16" t="s">
        <v>45</v>
      </c>
      <c r="H6" s="16" t="s">
        <v>46</v>
      </c>
      <c r="I6" s="16" t="s">
        <v>47</v>
      </c>
      <c r="J6" s="16" t="s">
        <v>46</v>
      </c>
      <c r="K6" s="16" t="s">
        <v>45</v>
      </c>
      <c r="L6" s="16" t="s">
        <v>47</v>
      </c>
      <c r="M6" s="16" t="s">
        <v>45</v>
      </c>
      <c r="N6" s="16" t="s">
        <v>43</v>
      </c>
      <c r="O6" s="16" t="s">
        <v>44</v>
      </c>
      <c r="P6" s="16" t="s">
        <v>44</v>
      </c>
      <c r="Q6" s="16" t="s">
        <v>46</v>
      </c>
      <c r="R6" s="16" t="s">
        <v>47</v>
      </c>
      <c r="S6" s="16" t="s">
        <v>43</v>
      </c>
    </row>
    <row r="7" spans="1:19" ht="14">
      <c r="A7" s="16" t="s">
        <v>44</v>
      </c>
      <c r="B7" s="16" t="s">
        <v>44</v>
      </c>
      <c r="C7" s="16" t="s">
        <v>44</v>
      </c>
      <c r="D7" s="16" t="s">
        <v>43</v>
      </c>
      <c r="E7" s="16" t="s">
        <v>47</v>
      </c>
      <c r="F7" s="16" t="s">
        <v>45</v>
      </c>
      <c r="G7" s="16" t="s">
        <v>46</v>
      </c>
      <c r="H7" s="16" t="s">
        <v>46</v>
      </c>
      <c r="I7" s="16" t="s">
        <v>45</v>
      </c>
      <c r="J7" s="16" t="s">
        <v>45</v>
      </c>
      <c r="K7" s="16" t="s">
        <v>45</v>
      </c>
      <c r="L7" s="16" t="s">
        <v>45</v>
      </c>
      <c r="M7" s="16" t="s">
        <v>46</v>
      </c>
      <c r="N7" s="16" t="s">
        <v>44</v>
      </c>
      <c r="O7" s="16" t="s">
        <v>43</v>
      </c>
      <c r="P7" s="16" t="s">
        <v>46</v>
      </c>
      <c r="Q7" s="16" t="s">
        <v>43</v>
      </c>
      <c r="R7" s="16" t="s">
        <v>47</v>
      </c>
      <c r="S7" s="16" t="s">
        <v>44</v>
      </c>
    </row>
    <row r="8" spans="1:19" ht="14">
      <c r="A8" s="16" t="s">
        <v>43</v>
      </c>
      <c r="B8" s="16" t="s">
        <v>43</v>
      </c>
      <c r="C8" s="16" t="s">
        <v>43</v>
      </c>
      <c r="D8" s="16" t="s">
        <v>43</v>
      </c>
      <c r="E8" s="16" t="s">
        <v>47</v>
      </c>
      <c r="F8" s="16" t="s">
        <v>47</v>
      </c>
      <c r="G8" s="16" t="s">
        <v>43</v>
      </c>
      <c r="H8" s="16" t="s">
        <v>44</v>
      </c>
      <c r="I8" s="16" t="s">
        <v>45</v>
      </c>
      <c r="J8" s="16" t="s">
        <v>45</v>
      </c>
      <c r="K8" s="16" t="s">
        <v>44</v>
      </c>
      <c r="L8" s="16" t="s">
        <v>47</v>
      </c>
      <c r="M8" s="16" t="s">
        <v>44</v>
      </c>
      <c r="N8" s="16" t="s">
        <v>44</v>
      </c>
      <c r="O8" s="16" t="s">
        <v>43</v>
      </c>
      <c r="P8" s="16" t="s">
        <v>46</v>
      </c>
      <c r="Q8" s="16" t="s">
        <v>46</v>
      </c>
      <c r="R8" s="16" t="s">
        <v>47</v>
      </c>
      <c r="S8" s="16" t="s">
        <v>44</v>
      </c>
    </row>
    <row r="9" spans="1:19" ht="14">
      <c r="A9" s="16" t="s">
        <v>43</v>
      </c>
      <c r="B9" s="16" t="s">
        <v>43</v>
      </c>
      <c r="C9" s="16" t="s">
        <v>43</v>
      </c>
      <c r="D9" s="16" t="s">
        <v>43</v>
      </c>
      <c r="E9" s="16" t="s">
        <v>45</v>
      </c>
      <c r="F9" s="16" t="s">
        <v>47</v>
      </c>
      <c r="G9" s="16" t="s">
        <v>44</v>
      </c>
      <c r="H9" s="16" t="s">
        <v>46</v>
      </c>
      <c r="I9" s="16" t="s">
        <v>47</v>
      </c>
      <c r="J9" s="16" t="s">
        <v>47</v>
      </c>
      <c r="K9" s="16" t="s">
        <v>46</v>
      </c>
      <c r="L9" s="16" t="s">
        <v>45</v>
      </c>
      <c r="M9" s="16" t="s">
        <v>45</v>
      </c>
      <c r="N9" s="16" t="s">
        <v>43</v>
      </c>
      <c r="O9" s="16" t="s">
        <v>44</v>
      </c>
      <c r="P9" s="16" t="s">
        <v>46</v>
      </c>
      <c r="Q9" s="16" t="s">
        <v>43</v>
      </c>
      <c r="R9" s="16" t="s">
        <v>47</v>
      </c>
      <c r="S9" s="16" t="s">
        <v>43</v>
      </c>
    </row>
    <row r="10" spans="1:19" ht="14">
      <c r="A10" s="16" t="s">
        <v>44</v>
      </c>
      <c r="B10" s="16" t="s">
        <v>43</v>
      </c>
      <c r="C10" s="16" t="s">
        <v>43</v>
      </c>
      <c r="D10" s="16" t="s">
        <v>43</v>
      </c>
      <c r="E10" s="16" t="s">
        <v>45</v>
      </c>
      <c r="F10" s="16" t="s">
        <v>45</v>
      </c>
      <c r="G10" s="16" t="s">
        <v>46</v>
      </c>
      <c r="H10" s="16" t="s">
        <v>46</v>
      </c>
      <c r="I10" s="16" t="s">
        <v>45</v>
      </c>
      <c r="J10" s="16" t="s">
        <v>47</v>
      </c>
      <c r="K10" s="16" t="s">
        <v>46</v>
      </c>
      <c r="L10" s="16" t="s">
        <v>44</v>
      </c>
      <c r="M10" s="16" t="s">
        <v>44</v>
      </c>
      <c r="N10" s="16" t="s">
        <v>44</v>
      </c>
      <c r="O10" s="16" t="s">
        <v>43</v>
      </c>
      <c r="P10" s="16" t="s">
        <v>44</v>
      </c>
      <c r="Q10" s="16" t="s">
        <v>43</v>
      </c>
      <c r="R10" s="16" t="s">
        <v>47</v>
      </c>
      <c r="S10" s="16" t="s">
        <v>44</v>
      </c>
    </row>
    <row r="11" spans="1:19" ht="14">
      <c r="A11" s="16" t="s">
        <v>43</v>
      </c>
      <c r="B11" s="16" t="s">
        <v>44</v>
      </c>
      <c r="C11" s="16" t="s">
        <v>43</v>
      </c>
      <c r="D11" s="16" t="s">
        <v>43</v>
      </c>
      <c r="E11" s="16" t="s">
        <v>46</v>
      </c>
      <c r="F11" s="16" t="s">
        <v>47</v>
      </c>
      <c r="G11" s="16" t="s">
        <v>45</v>
      </c>
      <c r="H11" s="16" t="s">
        <v>44</v>
      </c>
      <c r="I11" s="16" t="s">
        <v>47</v>
      </c>
      <c r="J11" s="16" t="s">
        <v>47</v>
      </c>
      <c r="K11" s="16" t="s">
        <v>45</v>
      </c>
      <c r="L11" s="16" t="s">
        <v>45</v>
      </c>
      <c r="M11" s="16" t="s">
        <v>45</v>
      </c>
      <c r="N11" s="16" t="s">
        <v>44</v>
      </c>
      <c r="O11" s="16" t="s">
        <v>43</v>
      </c>
      <c r="P11" s="16" t="s">
        <v>44</v>
      </c>
      <c r="Q11" s="16" t="s">
        <v>46</v>
      </c>
      <c r="R11" s="16" t="s">
        <v>47</v>
      </c>
      <c r="S11" s="16" t="s">
        <v>44</v>
      </c>
    </row>
    <row r="12" spans="1:19" ht="14">
      <c r="A12" s="16" t="s">
        <v>44</v>
      </c>
      <c r="B12" s="16" t="s">
        <v>43</v>
      </c>
      <c r="C12" s="16" t="s">
        <v>43</v>
      </c>
      <c r="D12" s="16" t="s">
        <v>43</v>
      </c>
      <c r="E12" s="16" t="s">
        <v>45</v>
      </c>
      <c r="F12" s="16" t="s">
        <v>46</v>
      </c>
      <c r="G12" s="16" t="s">
        <v>44</v>
      </c>
      <c r="H12" s="16" t="s">
        <v>44</v>
      </c>
      <c r="I12" s="16" t="s">
        <v>47</v>
      </c>
      <c r="J12" s="16" t="s">
        <v>45</v>
      </c>
      <c r="K12" s="16" t="s">
        <v>46</v>
      </c>
      <c r="L12" s="16" t="s">
        <v>45</v>
      </c>
      <c r="M12" s="16" t="s">
        <v>45</v>
      </c>
      <c r="N12" s="16" t="s">
        <v>43</v>
      </c>
      <c r="O12" s="16" t="s">
        <v>46</v>
      </c>
      <c r="P12" s="16" t="s">
        <v>44</v>
      </c>
      <c r="Q12" s="16" t="s">
        <v>46</v>
      </c>
      <c r="R12" s="16" t="s">
        <v>47</v>
      </c>
      <c r="S12" s="16" t="s">
        <v>43</v>
      </c>
    </row>
    <row r="13" spans="1:19" ht="14">
      <c r="A13" s="16" t="s">
        <v>43</v>
      </c>
      <c r="B13" s="16" t="s">
        <v>44</v>
      </c>
      <c r="C13" s="16" t="s">
        <v>44</v>
      </c>
      <c r="D13" s="16" t="s">
        <v>43</v>
      </c>
      <c r="E13" s="16" t="s">
        <v>45</v>
      </c>
      <c r="F13" s="16" t="s">
        <v>46</v>
      </c>
      <c r="G13" s="16" t="s">
        <v>43</v>
      </c>
      <c r="H13" s="16" t="s">
        <v>45</v>
      </c>
      <c r="I13" s="16" t="s">
        <v>45</v>
      </c>
      <c r="J13" s="16" t="s">
        <v>46</v>
      </c>
      <c r="K13" s="16" t="s">
        <v>46</v>
      </c>
      <c r="L13" s="16" t="s">
        <v>45</v>
      </c>
      <c r="M13" s="16" t="s">
        <v>46</v>
      </c>
      <c r="N13" s="16" t="s">
        <v>43</v>
      </c>
      <c r="O13" s="16" t="s">
        <v>43</v>
      </c>
      <c r="P13" s="16" t="s">
        <v>44</v>
      </c>
      <c r="Q13" s="16" t="s">
        <v>43</v>
      </c>
      <c r="R13" s="16" t="s">
        <v>47</v>
      </c>
      <c r="S13" s="16" t="s">
        <v>44</v>
      </c>
    </row>
    <row r="14" spans="1:19" ht="14">
      <c r="A14" s="16" t="s">
        <v>43</v>
      </c>
      <c r="B14" s="16" t="s">
        <v>43</v>
      </c>
      <c r="C14" s="16" t="s">
        <v>44</v>
      </c>
      <c r="D14" s="16" t="s">
        <v>43</v>
      </c>
      <c r="E14" s="16" t="s">
        <v>47</v>
      </c>
      <c r="F14" s="16" t="s">
        <v>46</v>
      </c>
      <c r="G14" s="16" t="s">
        <v>45</v>
      </c>
      <c r="H14" s="16" t="s">
        <v>46</v>
      </c>
      <c r="I14" s="16" t="s">
        <v>45</v>
      </c>
      <c r="J14" s="16" t="s">
        <v>45</v>
      </c>
      <c r="K14" s="16" t="s">
        <v>45</v>
      </c>
      <c r="L14" s="16" t="s">
        <v>45</v>
      </c>
      <c r="M14" s="16" t="s">
        <v>46</v>
      </c>
      <c r="N14" s="16" t="s">
        <v>43</v>
      </c>
      <c r="O14" s="16" t="s">
        <v>44</v>
      </c>
      <c r="P14" s="16" t="s">
        <v>45</v>
      </c>
      <c r="Q14" s="16" t="s">
        <v>44</v>
      </c>
      <c r="R14" s="16" t="s">
        <v>47</v>
      </c>
      <c r="S14" s="16" t="s">
        <v>43</v>
      </c>
    </row>
    <row r="15" spans="1:19" ht="14">
      <c r="A15" s="16" t="s">
        <v>43</v>
      </c>
      <c r="B15" s="16" t="s">
        <v>43</v>
      </c>
      <c r="C15" s="16" t="s">
        <v>43</v>
      </c>
      <c r="D15" s="16" t="s">
        <v>43</v>
      </c>
      <c r="E15" s="16" t="s">
        <v>47</v>
      </c>
      <c r="F15" s="16" t="s">
        <v>47</v>
      </c>
      <c r="G15" s="16" t="s">
        <v>46</v>
      </c>
      <c r="H15" s="16" t="s">
        <v>45</v>
      </c>
      <c r="I15" s="16" t="s">
        <v>45</v>
      </c>
      <c r="J15" s="16" t="s">
        <v>47</v>
      </c>
      <c r="K15" s="16" t="s">
        <v>46</v>
      </c>
      <c r="L15" s="16" t="s">
        <v>45</v>
      </c>
      <c r="M15" s="16" t="s">
        <v>44</v>
      </c>
      <c r="N15" s="16" t="s">
        <v>44</v>
      </c>
      <c r="O15" s="16" t="s">
        <v>43</v>
      </c>
      <c r="P15" s="16" t="s">
        <v>46</v>
      </c>
      <c r="Q15" s="16" t="s">
        <v>44</v>
      </c>
      <c r="R15" s="16" t="s">
        <v>47</v>
      </c>
      <c r="S15" s="16" t="s">
        <v>44</v>
      </c>
    </row>
    <row r="16" spans="1:19" ht="14">
      <c r="A16" s="16" t="s">
        <v>44</v>
      </c>
      <c r="B16" s="16" t="s">
        <v>44</v>
      </c>
      <c r="C16" s="16" t="s">
        <v>43</v>
      </c>
      <c r="D16" s="16" t="s">
        <v>43</v>
      </c>
      <c r="E16" s="16" t="s">
        <v>47</v>
      </c>
      <c r="F16" s="16" t="s">
        <v>47</v>
      </c>
      <c r="G16" s="16" t="s">
        <v>43</v>
      </c>
      <c r="H16" s="16" t="s">
        <v>46</v>
      </c>
      <c r="I16" s="16" t="s">
        <v>45</v>
      </c>
      <c r="J16" s="16" t="s">
        <v>44</v>
      </c>
      <c r="K16" s="16" t="s">
        <v>46</v>
      </c>
      <c r="L16" s="16" t="s">
        <v>44</v>
      </c>
      <c r="M16" s="16" t="s">
        <v>46</v>
      </c>
      <c r="N16" s="16" t="s">
        <v>43</v>
      </c>
      <c r="O16" s="16" t="s">
        <v>44</v>
      </c>
      <c r="P16" s="16" t="s">
        <v>45</v>
      </c>
      <c r="Q16" s="16" t="s">
        <v>43</v>
      </c>
      <c r="R16" s="16" t="s">
        <v>45</v>
      </c>
      <c r="S16" s="16" t="s">
        <v>43</v>
      </c>
    </row>
    <row r="17" spans="1:19" ht="14">
      <c r="A17" s="16" t="s">
        <v>43</v>
      </c>
      <c r="B17" s="16" t="s">
        <v>43</v>
      </c>
      <c r="C17" s="16" t="s">
        <v>44</v>
      </c>
      <c r="D17" s="16" t="s">
        <v>44</v>
      </c>
      <c r="E17" s="16" t="s">
        <v>47</v>
      </c>
      <c r="F17" s="16" t="s">
        <v>46</v>
      </c>
      <c r="G17" s="16" t="s">
        <v>44</v>
      </c>
      <c r="H17" s="16" t="s">
        <v>45</v>
      </c>
      <c r="I17" s="16" t="s">
        <v>46</v>
      </c>
      <c r="J17" s="16" t="s">
        <v>46</v>
      </c>
      <c r="K17" s="16" t="s">
        <v>46</v>
      </c>
      <c r="L17" s="16" t="s">
        <v>45</v>
      </c>
      <c r="M17" s="16" t="s">
        <v>44</v>
      </c>
      <c r="N17" s="16" t="s">
        <v>44</v>
      </c>
      <c r="O17" s="16" t="s">
        <v>43</v>
      </c>
      <c r="P17" s="16" t="s">
        <v>44</v>
      </c>
      <c r="Q17" s="16" t="s">
        <v>43</v>
      </c>
      <c r="R17" s="16" t="s">
        <v>47</v>
      </c>
      <c r="S17" s="16" t="s">
        <v>44</v>
      </c>
    </row>
    <row r="18" spans="1:19" ht="14">
      <c r="A18" s="16" t="s">
        <v>44</v>
      </c>
      <c r="B18" s="16" t="s">
        <v>43</v>
      </c>
      <c r="C18" s="16" t="s">
        <v>44</v>
      </c>
      <c r="D18" s="16" t="s">
        <v>44</v>
      </c>
      <c r="E18" s="16" t="s">
        <v>46</v>
      </c>
      <c r="F18" s="16" t="s">
        <v>47</v>
      </c>
      <c r="G18" s="16" t="s">
        <v>44</v>
      </c>
      <c r="H18" s="16" t="s">
        <v>46</v>
      </c>
      <c r="I18" s="16" t="s">
        <v>45</v>
      </c>
      <c r="J18" s="16" t="s">
        <v>45</v>
      </c>
      <c r="K18" s="16" t="s">
        <v>46</v>
      </c>
      <c r="L18" s="16" t="s">
        <v>44</v>
      </c>
      <c r="M18" s="16" t="s">
        <v>45</v>
      </c>
      <c r="N18" s="16" t="s">
        <v>43</v>
      </c>
      <c r="O18" s="16" t="s">
        <v>44</v>
      </c>
      <c r="P18" s="16" t="s">
        <v>46</v>
      </c>
      <c r="Q18" s="16" t="s">
        <v>43</v>
      </c>
      <c r="R18" s="16" t="s">
        <v>47</v>
      </c>
      <c r="S18" s="16" t="s">
        <v>43</v>
      </c>
    </row>
    <row r="19" spans="1:19" ht="14">
      <c r="A19" s="16" t="s">
        <v>44</v>
      </c>
      <c r="B19" s="16" t="s">
        <v>43</v>
      </c>
      <c r="C19" s="16" t="s">
        <v>43</v>
      </c>
      <c r="D19" s="16" t="s">
        <v>44</v>
      </c>
      <c r="E19" s="16" t="s">
        <v>47</v>
      </c>
      <c r="F19" s="16" t="s">
        <v>46</v>
      </c>
      <c r="G19" s="16" t="s">
        <v>44</v>
      </c>
      <c r="H19" s="16" t="s">
        <v>46</v>
      </c>
      <c r="I19" s="16" t="s">
        <v>47</v>
      </c>
      <c r="J19" s="16" t="s">
        <v>45</v>
      </c>
      <c r="K19" s="16" t="s">
        <v>45</v>
      </c>
      <c r="L19" s="16" t="s">
        <v>44</v>
      </c>
      <c r="M19" s="16" t="s">
        <v>45</v>
      </c>
      <c r="N19" s="16" t="s">
        <v>44</v>
      </c>
      <c r="O19" s="16" t="s">
        <v>46</v>
      </c>
      <c r="P19" s="16" t="s">
        <v>43</v>
      </c>
      <c r="Q19" s="16" t="s">
        <v>43</v>
      </c>
      <c r="R19" s="16" t="s">
        <v>45</v>
      </c>
      <c r="S19" s="16" t="s">
        <v>44</v>
      </c>
    </row>
    <row r="20" spans="1:19" ht="14">
      <c r="A20" s="16" t="s">
        <v>44</v>
      </c>
      <c r="B20" s="16" t="s">
        <v>43</v>
      </c>
      <c r="C20" s="16" t="s">
        <v>44</v>
      </c>
      <c r="D20" s="16" t="s">
        <v>44</v>
      </c>
      <c r="E20" s="16" t="s">
        <v>46</v>
      </c>
      <c r="F20" s="16" t="s">
        <v>46</v>
      </c>
      <c r="G20" s="16" t="s">
        <v>46</v>
      </c>
      <c r="H20" s="16" t="s">
        <v>45</v>
      </c>
      <c r="I20" s="16" t="s">
        <v>45</v>
      </c>
      <c r="J20" s="16" t="s">
        <v>45</v>
      </c>
      <c r="K20" s="16" t="s">
        <v>46</v>
      </c>
      <c r="L20" s="16" t="s">
        <v>47</v>
      </c>
      <c r="M20" s="16" t="s">
        <v>44</v>
      </c>
      <c r="N20" s="16" t="s">
        <v>43</v>
      </c>
      <c r="O20" s="16" t="s">
        <v>43</v>
      </c>
      <c r="P20" s="16" t="s">
        <v>46</v>
      </c>
      <c r="Q20" s="16" t="s">
        <v>44</v>
      </c>
      <c r="R20" s="16" t="s">
        <v>47</v>
      </c>
      <c r="S20" s="16" t="s">
        <v>43</v>
      </c>
    </row>
    <row r="21" spans="1:19" ht="14">
      <c r="A21" s="16" t="s">
        <v>43</v>
      </c>
      <c r="B21" s="16" t="s">
        <v>44</v>
      </c>
      <c r="C21" s="16" t="s">
        <v>44</v>
      </c>
      <c r="D21" s="16" t="s">
        <v>44</v>
      </c>
      <c r="E21" s="16" t="s">
        <v>45</v>
      </c>
      <c r="F21" s="16" t="s">
        <v>46</v>
      </c>
      <c r="G21" s="16" t="s">
        <v>46</v>
      </c>
      <c r="H21" s="16" t="s">
        <v>46</v>
      </c>
      <c r="I21" s="16" t="s">
        <v>47</v>
      </c>
      <c r="J21" s="16" t="s">
        <v>47</v>
      </c>
      <c r="K21" s="16" t="s">
        <v>46</v>
      </c>
      <c r="L21" s="16" t="s">
        <v>47</v>
      </c>
      <c r="M21" s="16" t="s">
        <v>44</v>
      </c>
      <c r="N21" s="16" t="s">
        <v>43</v>
      </c>
      <c r="O21" s="16" t="s">
        <v>46</v>
      </c>
      <c r="P21" s="16" t="s">
        <v>45</v>
      </c>
      <c r="Q21" s="16" t="s">
        <v>46</v>
      </c>
      <c r="R21" s="16" t="s">
        <v>45</v>
      </c>
      <c r="S21" s="16" t="s">
        <v>43</v>
      </c>
    </row>
    <row r="22" spans="1:19" ht="14">
      <c r="A22" s="16"/>
      <c r="B22" s="16"/>
      <c r="C22" s="16"/>
      <c r="D22" s="16"/>
      <c r="E22" s="16"/>
      <c r="F22" s="16"/>
      <c r="G22" s="16"/>
      <c r="H22" s="16"/>
      <c r="I22" s="16"/>
      <c r="J22" s="16"/>
      <c r="K22" s="16"/>
      <c r="L22" s="16"/>
      <c r="M22" s="16"/>
      <c r="N22" s="16"/>
      <c r="O22" s="16"/>
      <c r="P22" s="16"/>
      <c r="Q22" s="16"/>
      <c r="R22" s="16"/>
      <c r="S22" s="16"/>
    </row>
  </sheetData>
  <pageMargins left="0.75" right="0.75" top="1" bottom="1" header="0.5" footer="0.5"/>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19"/>
  <sheetViews>
    <sheetView topLeftCell="A76" zoomScale="70" zoomScaleNormal="70" workbookViewId="0">
      <selection activeCell="D122" sqref="D122"/>
    </sheetView>
  </sheetViews>
  <sheetFormatPr defaultColWidth="9" defaultRowHeight="12.5"/>
  <cols>
    <col customWidth="true" max="2" min="1" style="11" width="43.7181818181818"/>
    <col customWidth="true" max="3" min="3" style="11" width="45.1454545454545"/>
    <col customWidth="true" max="6" min="4" style="11" width="46.5727272727273"/>
    <col customWidth="true" max="7" min="7" style="11" width="53.7181818181818"/>
    <col customWidth="true" max="8" min="8" style="11" width="52.2818181818182"/>
    <col customWidth="true" max="9" min="9" style="11" width="42.2818181818182"/>
    <col customWidth="true" max="10" min="10" style="11" width="54.7181818181818"/>
    <col customWidth="true" max="11" min="11" style="11" width="60.4272727272727"/>
    <col customWidth="true" max="12" min="12" style="11" width="54.7181818181818"/>
    <col customWidth="true" max="13" min="13" style="11" width="59"/>
    <col customWidth="true" max="14" min="14" style="11" width="66.1454545454545"/>
    <col customWidth="true" max="15" min="15" style="11" width="51.8545454545455"/>
    <col customWidth="true" max="16" min="16" style="11" width="64.7181818181818"/>
    <col customWidth="true" max="17" min="17" style="11" width="50.4272727272727"/>
    <col max="16384" min="18" style="11" width="9"/>
  </cols>
  <sheetData>
    <row r="1" spans="1:17">
      <c r="A1" s="11" t="s">
        <v>48</v>
      </c>
      <c r="B1" s="11" t="s">
        <v>49</v>
      </c>
      <c r="C1" s="11" t="s">
        <v>50</v>
      </c>
      <c r="D1" s="11" t="s">
        <v>51</v>
      </c>
      <c r="E1" s="11" t="s">
        <v>52</v>
      </c>
      <c r="F1" s="11" t="s">
        <v>53</v>
      </c>
      <c r="G1" s="11" t="s">
        <v>54</v>
      </c>
      <c r="H1" s="11" t="s">
        <v>55</v>
      </c>
      <c r="I1" s="11" t="s">
        <v>56</v>
      </c>
      <c r="J1" s="11" t="s">
        <v>57</v>
      </c>
      <c r="K1" s="11" t="s">
        <v>58</v>
      </c>
      <c r="L1" s="11" t="s">
        <v>59</v>
      </c>
      <c r="M1" s="11" t="s">
        <v>60</v>
      </c>
      <c r="N1" s="11" t="s">
        <v>61</v>
      </c>
      <c r="O1" s="11" t="s">
        <v>62</v>
      </c>
      <c r="P1" s="11" t="s">
        <v>63</v>
      </c>
      <c r="Q1" s="11" t="s">
        <v>64</v>
      </c>
    </row>
    <row r="2" spans="1:17">
      <c r="A2" s="11" t="s">
        <v>46</v>
      </c>
      <c r="B2" s="11" t="s">
        <v>44</v>
      </c>
      <c r="C2" s="11" t="s">
        <v>43</v>
      </c>
      <c r="D2" s="11" t="s">
        <v>46</v>
      </c>
      <c r="E2" s="11" t="s">
        <v>44</v>
      </c>
      <c r="F2" s="11" t="s">
        <v>44</v>
      </c>
      <c r="G2" s="11" t="s">
        <v>44</v>
      </c>
      <c r="H2" s="11" t="s">
        <v>44</v>
      </c>
      <c r="I2" s="11" t="s">
        <v>43</v>
      </c>
      <c r="J2" s="11" t="s">
        <v>44</v>
      </c>
      <c r="K2" s="11" t="s">
        <v>46</v>
      </c>
      <c r="L2" s="11" t="s">
        <v>43</v>
      </c>
      <c r="M2" s="11" t="s">
        <v>44</v>
      </c>
      <c r="N2" s="11" t="s">
        <v>46</v>
      </c>
      <c r="O2" s="11" t="s">
        <v>43</v>
      </c>
      <c r="P2" s="11" t="s">
        <v>44</v>
      </c>
      <c r="Q2" s="11" t="s">
        <v>43</v>
      </c>
    </row>
    <row r="3" spans="1:17">
      <c r="A3" s="11" t="s">
        <v>44</v>
      </c>
      <c r="B3" s="11" t="s">
        <v>45</v>
      </c>
      <c r="C3" s="11" t="s">
        <v>44</v>
      </c>
      <c r="D3" s="11" t="s">
        <v>44</v>
      </c>
      <c r="E3" s="11" t="s">
        <v>43</v>
      </c>
      <c r="F3" s="11" t="s">
        <v>46</v>
      </c>
      <c r="G3" s="11" t="s">
        <v>43</v>
      </c>
      <c r="H3" s="11" t="s">
        <v>43</v>
      </c>
      <c r="I3" s="11" t="s">
        <v>46</v>
      </c>
      <c r="J3" s="11" t="s">
        <v>43</v>
      </c>
      <c r="K3" s="11" t="s">
        <v>44</v>
      </c>
      <c r="L3" s="11" t="s">
        <v>45</v>
      </c>
      <c r="M3" s="11" t="s">
        <v>44</v>
      </c>
      <c r="N3" s="11" t="s">
        <v>46</v>
      </c>
      <c r="O3" s="11" t="s">
        <v>44</v>
      </c>
      <c r="P3" s="11" t="s">
        <v>46</v>
      </c>
      <c r="Q3" s="11" t="s">
        <v>43</v>
      </c>
    </row>
    <row r="4" spans="1:17">
      <c r="A4" s="11" t="s">
        <v>43</v>
      </c>
      <c r="B4" s="11" t="s">
        <v>44</v>
      </c>
      <c r="C4" s="11" t="s">
        <v>46</v>
      </c>
      <c r="D4" s="11" t="s">
        <v>43</v>
      </c>
      <c r="E4" s="11" t="s">
        <v>43</v>
      </c>
      <c r="F4" s="11" t="s">
        <v>43</v>
      </c>
      <c r="G4" s="11" t="s">
        <v>44</v>
      </c>
      <c r="H4" s="11" t="s">
        <v>44</v>
      </c>
      <c r="I4" s="11" t="s">
        <v>46</v>
      </c>
      <c r="J4" s="11" t="s">
        <v>44</v>
      </c>
      <c r="K4" s="11" t="s">
        <v>44</v>
      </c>
      <c r="L4" s="11" t="s">
        <v>43</v>
      </c>
      <c r="M4" s="11" t="s">
        <v>44</v>
      </c>
      <c r="N4" s="11" t="s">
        <v>44</v>
      </c>
      <c r="O4" s="11" t="s">
        <v>43</v>
      </c>
      <c r="P4" s="11" t="s">
        <v>43</v>
      </c>
      <c r="Q4" s="11" t="s">
        <v>43</v>
      </c>
    </row>
    <row r="5" spans="1:17">
      <c r="A5" s="11" t="s">
        <v>46</v>
      </c>
      <c r="B5" s="11" t="s">
        <v>46</v>
      </c>
      <c r="C5" s="11" t="s">
        <v>47</v>
      </c>
      <c r="D5" s="11" t="s">
        <v>44</v>
      </c>
      <c r="E5" s="11" t="s">
        <v>44</v>
      </c>
      <c r="F5" s="11" t="s">
        <v>44</v>
      </c>
      <c r="G5" s="11" t="s">
        <v>43</v>
      </c>
      <c r="H5" s="11" t="s">
        <v>46</v>
      </c>
      <c r="I5" s="11" t="s">
        <v>44</v>
      </c>
      <c r="J5" s="11" t="s">
        <v>44</v>
      </c>
      <c r="K5" s="11" t="s">
        <v>44</v>
      </c>
      <c r="L5" s="11" t="s">
        <v>43</v>
      </c>
      <c r="M5" s="11" t="s">
        <v>43</v>
      </c>
      <c r="N5" s="11" t="s">
        <v>46</v>
      </c>
      <c r="O5" s="11" t="s">
        <v>44</v>
      </c>
      <c r="P5" s="11" t="s">
        <v>43</v>
      </c>
      <c r="Q5" s="11" t="s">
        <v>44</v>
      </c>
    </row>
    <row r="6" spans="1:17">
      <c r="A6" s="11" t="s">
        <v>43</v>
      </c>
      <c r="B6" s="11" t="s">
        <v>43</v>
      </c>
      <c r="C6" s="11" t="s">
        <v>43</v>
      </c>
      <c r="D6" s="11" t="s">
        <v>43</v>
      </c>
      <c r="E6" s="11" t="s">
        <v>43</v>
      </c>
      <c r="F6" s="11" t="s">
        <v>43</v>
      </c>
      <c r="G6" s="11" t="s">
        <v>43</v>
      </c>
      <c r="H6" s="11" t="s">
        <v>43</v>
      </c>
      <c r="I6" s="11" t="s">
        <v>43</v>
      </c>
      <c r="J6" s="11" t="s">
        <v>43</v>
      </c>
      <c r="K6" s="11" t="s">
        <v>43</v>
      </c>
      <c r="L6" s="11" t="s">
        <v>43</v>
      </c>
      <c r="M6" s="11" t="s">
        <v>43</v>
      </c>
      <c r="N6" s="11" t="s">
        <v>43</v>
      </c>
      <c r="O6" s="11" t="s">
        <v>43</v>
      </c>
      <c r="P6" s="11" t="s">
        <v>43</v>
      </c>
      <c r="Q6" s="11" t="s">
        <v>43</v>
      </c>
    </row>
    <row r="7" spans="1:17">
      <c r="A7" s="11" t="s">
        <v>46</v>
      </c>
      <c r="B7" s="11" t="s">
        <v>46</v>
      </c>
      <c r="C7" s="11" t="s">
        <v>44</v>
      </c>
      <c r="D7" s="11" t="s">
        <v>46</v>
      </c>
      <c r="E7" s="11" t="s">
        <v>46</v>
      </c>
      <c r="F7" s="11" t="s">
        <v>46</v>
      </c>
      <c r="G7" s="11" t="s">
        <v>46</v>
      </c>
      <c r="H7" s="11" t="s">
        <v>46</v>
      </c>
      <c r="I7" s="11" t="s">
        <v>46</v>
      </c>
      <c r="J7" s="11" t="s">
        <v>46</v>
      </c>
      <c r="K7" s="11" t="s">
        <v>46</v>
      </c>
      <c r="L7" s="11" t="s">
        <v>46</v>
      </c>
      <c r="M7" s="11" t="s">
        <v>46</v>
      </c>
      <c r="N7" s="11" t="s">
        <v>46</v>
      </c>
      <c r="O7" s="11" t="s">
        <v>44</v>
      </c>
      <c r="P7" s="11" t="s">
        <v>44</v>
      </c>
      <c r="Q7" s="11" t="s">
        <v>44</v>
      </c>
    </row>
    <row r="8" spans="1:17">
      <c r="A8" s="11" t="s">
        <v>43</v>
      </c>
      <c r="B8" s="11" t="s">
        <v>43</v>
      </c>
      <c r="C8" s="11" t="s">
        <v>43</v>
      </c>
      <c r="D8" s="11" t="s">
        <v>43</v>
      </c>
      <c r="E8" s="11" t="s">
        <v>43</v>
      </c>
      <c r="F8" s="11" t="s">
        <v>43</v>
      </c>
      <c r="G8" s="11" t="s">
        <v>43</v>
      </c>
      <c r="H8" s="11" t="s">
        <v>43</v>
      </c>
      <c r="I8" s="11" t="s">
        <v>43</v>
      </c>
      <c r="J8" s="11" t="s">
        <v>43</v>
      </c>
      <c r="K8" s="11" t="s">
        <v>43</v>
      </c>
      <c r="L8" s="11" t="s">
        <v>43</v>
      </c>
      <c r="M8" s="11" t="s">
        <v>43</v>
      </c>
      <c r="N8" s="11" t="s">
        <v>43</v>
      </c>
      <c r="O8" s="11" t="s">
        <v>43</v>
      </c>
      <c r="P8" s="11" t="s">
        <v>43</v>
      </c>
      <c r="Q8" s="11" t="s">
        <v>43</v>
      </c>
    </row>
    <row r="9" spans="1:17">
      <c r="A9" s="11" t="s">
        <v>44</v>
      </c>
      <c r="B9" s="11" t="s">
        <v>45</v>
      </c>
      <c r="C9" s="11" t="s">
        <v>46</v>
      </c>
      <c r="D9" s="11" t="s">
        <v>46</v>
      </c>
      <c r="E9" s="11" t="s">
        <v>44</v>
      </c>
      <c r="F9" s="11" t="s">
        <v>45</v>
      </c>
      <c r="G9" s="11" t="s">
        <v>46</v>
      </c>
      <c r="H9" s="11" t="s">
        <v>44</v>
      </c>
      <c r="I9" s="11" t="s">
        <v>44</v>
      </c>
      <c r="J9" s="11" t="s">
        <v>44</v>
      </c>
      <c r="K9" s="11" t="s">
        <v>46</v>
      </c>
      <c r="L9" s="11" t="s">
        <v>43</v>
      </c>
      <c r="M9" s="11" t="s">
        <v>44</v>
      </c>
      <c r="N9" s="11" t="s">
        <v>44</v>
      </c>
      <c r="O9" s="11" t="s">
        <v>46</v>
      </c>
      <c r="P9" s="11" t="s">
        <v>46</v>
      </c>
      <c r="Q9" s="11" t="s">
        <v>44</v>
      </c>
    </row>
    <row r="10" spans="1:17">
      <c r="A10" s="11" t="s">
        <v>44</v>
      </c>
      <c r="B10" s="11" t="s">
        <v>45</v>
      </c>
      <c r="C10" s="11" t="s">
        <v>44</v>
      </c>
      <c r="D10" s="11" t="s">
        <v>43</v>
      </c>
      <c r="E10" s="11" t="s">
        <v>44</v>
      </c>
      <c r="F10" s="11" t="s">
        <v>46</v>
      </c>
      <c r="G10" s="11" t="s">
        <v>43</v>
      </c>
      <c r="H10" s="11" t="s">
        <v>43</v>
      </c>
      <c r="I10" s="11" t="s">
        <v>44</v>
      </c>
      <c r="J10" s="11" t="s">
        <v>44</v>
      </c>
      <c r="K10" s="11" t="s">
        <v>43</v>
      </c>
      <c r="L10" s="11" t="s">
        <v>43</v>
      </c>
      <c r="M10" s="11" t="s">
        <v>43</v>
      </c>
      <c r="N10" s="11" t="s">
        <v>43</v>
      </c>
      <c r="O10" s="11" t="s">
        <v>43</v>
      </c>
      <c r="P10" s="11" t="s">
        <v>43</v>
      </c>
      <c r="Q10" s="11" t="s">
        <v>43</v>
      </c>
    </row>
    <row r="11" spans="1:17">
      <c r="A11" s="11" t="s">
        <v>43</v>
      </c>
      <c r="B11" s="11" t="s">
        <v>43</v>
      </c>
      <c r="C11" s="11" t="s">
        <v>44</v>
      </c>
      <c r="D11" s="11" t="s">
        <v>43</v>
      </c>
      <c r="E11" s="11" t="s">
        <v>43</v>
      </c>
      <c r="F11" s="11" t="s">
        <v>44</v>
      </c>
      <c r="G11" s="11" t="s">
        <v>44</v>
      </c>
      <c r="H11" s="11" t="s">
        <v>43</v>
      </c>
      <c r="I11" s="11" t="s">
        <v>43</v>
      </c>
      <c r="J11" s="11" t="s">
        <v>43</v>
      </c>
      <c r="K11" s="11" t="s">
        <v>43</v>
      </c>
      <c r="L11" s="11" t="s">
        <v>43</v>
      </c>
      <c r="M11" s="11" t="s">
        <v>43</v>
      </c>
      <c r="N11" s="11" t="s">
        <v>43</v>
      </c>
      <c r="O11" s="11" t="s">
        <v>43</v>
      </c>
      <c r="P11" s="11" t="s">
        <v>43</v>
      </c>
      <c r="Q11" s="11" t="s">
        <v>43</v>
      </c>
    </row>
    <row r="12" spans="1:17">
      <c r="A12" s="11" t="s">
        <v>43</v>
      </c>
      <c r="B12" s="11" t="s">
        <v>43</v>
      </c>
      <c r="C12" s="11" t="s">
        <v>43</v>
      </c>
      <c r="D12" s="11" t="s">
        <v>43</v>
      </c>
      <c r="E12" s="11" t="s">
        <v>43</v>
      </c>
      <c r="F12" s="11" t="s">
        <v>43</v>
      </c>
      <c r="G12" s="11" t="s">
        <v>43</v>
      </c>
      <c r="H12" s="11" t="s">
        <v>43</v>
      </c>
      <c r="I12" s="11" t="s">
        <v>43</v>
      </c>
      <c r="J12" s="11" t="s">
        <v>43</v>
      </c>
      <c r="K12" s="11" t="s">
        <v>43</v>
      </c>
      <c r="L12" s="11" t="s">
        <v>43</v>
      </c>
      <c r="M12" s="11" t="s">
        <v>43</v>
      </c>
      <c r="N12" s="11" t="s">
        <v>43</v>
      </c>
      <c r="O12" s="11" t="s">
        <v>43</v>
      </c>
      <c r="P12" s="11" t="s">
        <v>43</v>
      </c>
      <c r="Q12" s="11" t="s">
        <v>43</v>
      </c>
    </row>
    <row r="13" spans="1:17">
      <c r="A13" s="11" t="s">
        <v>43</v>
      </c>
      <c r="B13" s="11" t="s">
        <v>45</v>
      </c>
      <c r="C13" s="11" t="s">
        <v>45</v>
      </c>
      <c r="D13" s="11" t="s">
        <v>43</v>
      </c>
      <c r="E13" s="11" t="s">
        <v>43</v>
      </c>
      <c r="F13" s="11" t="s">
        <v>46</v>
      </c>
      <c r="G13" s="11" t="s">
        <v>46</v>
      </c>
      <c r="H13" s="11" t="s">
        <v>44</v>
      </c>
      <c r="I13" s="11" t="s">
        <v>45</v>
      </c>
      <c r="J13" s="11" t="s">
        <v>45</v>
      </c>
      <c r="K13" s="11" t="s">
        <v>46</v>
      </c>
      <c r="L13" s="11" t="s">
        <v>43</v>
      </c>
      <c r="M13" s="11" t="s">
        <v>44</v>
      </c>
      <c r="N13" s="11" t="s">
        <v>44</v>
      </c>
      <c r="O13" s="11" t="s">
        <v>46</v>
      </c>
      <c r="P13" s="11" t="s">
        <v>46</v>
      </c>
      <c r="Q13" s="11" t="s">
        <v>46</v>
      </c>
    </row>
    <row r="14" spans="1:17">
      <c r="A14" s="11" t="s">
        <v>43</v>
      </c>
      <c r="B14" s="11" t="s">
        <v>43</v>
      </c>
      <c r="C14" s="11" t="s">
        <v>43</v>
      </c>
      <c r="D14" s="11" t="s">
        <v>43</v>
      </c>
      <c r="E14" s="11" t="s">
        <v>43</v>
      </c>
      <c r="F14" s="11" t="s">
        <v>43</v>
      </c>
      <c r="G14" s="11" t="s">
        <v>43</v>
      </c>
      <c r="H14" s="11" t="s">
        <v>43</v>
      </c>
      <c r="I14" s="11" t="s">
        <v>43</v>
      </c>
      <c r="J14" s="11" t="s">
        <v>43</v>
      </c>
      <c r="K14" s="11" t="s">
        <v>43</v>
      </c>
      <c r="L14" s="11" t="s">
        <v>43</v>
      </c>
      <c r="M14" s="11" t="s">
        <v>43</v>
      </c>
      <c r="N14" s="11" t="s">
        <v>44</v>
      </c>
      <c r="O14" s="11" t="s">
        <v>43</v>
      </c>
      <c r="P14" s="11" t="s">
        <v>43</v>
      </c>
      <c r="Q14" s="11" t="s">
        <v>43</v>
      </c>
    </row>
    <row r="15" spans="1:17">
      <c r="A15" s="11" t="s">
        <v>44</v>
      </c>
      <c r="B15" s="11" t="s">
        <v>46</v>
      </c>
      <c r="C15" s="11" t="s">
        <v>46</v>
      </c>
      <c r="D15" s="11" t="s">
        <v>44</v>
      </c>
      <c r="E15" s="11" t="s">
        <v>43</v>
      </c>
      <c r="F15" s="11" t="s">
        <v>44</v>
      </c>
      <c r="G15" s="11" t="s">
        <v>44</v>
      </c>
      <c r="H15" s="11" t="s">
        <v>46</v>
      </c>
      <c r="I15" s="11" t="s">
        <v>44</v>
      </c>
      <c r="J15" s="11" t="s">
        <v>44</v>
      </c>
      <c r="K15" s="11" t="s">
        <v>44</v>
      </c>
      <c r="L15" s="11" t="s">
        <v>44</v>
      </c>
      <c r="M15" s="11" t="s">
        <v>44</v>
      </c>
      <c r="N15" s="11" t="s">
        <v>44</v>
      </c>
      <c r="O15" s="11" t="s">
        <v>44</v>
      </c>
      <c r="P15" s="11" t="s">
        <v>44</v>
      </c>
      <c r="Q15" s="11" t="s">
        <v>44</v>
      </c>
    </row>
    <row r="16" spans="1:17">
      <c r="A16" s="11" t="s">
        <v>44</v>
      </c>
      <c r="B16" s="11" t="s">
        <v>45</v>
      </c>
      <c r="C16" s="11" t="s">
        <v>44</v>
      </c>
      <c r="D16" s="11" t="s">
        <v>43</v>
      </c>
      <c r="E16" s="11" t="s">
        <v>43</v>
      </c>
      <c r="F16" s="11" t="s">
        <v>43</v>
      </c>
      <c r="G16" s="11" t="s">
        <v>44</v>
      </c>
      <c r="H16" s="11" t="s">
        <v>43</v>
      </c>
      <c r="I16" s="11" t="s">
        <v>43</v>
      </c>
      <c r="J16" s="11" t="s">
        <v>44</v>
      </c>
      <c r="K16" s="11" t="s">
        <v>44</v>
      </c>
      <c r="L16" s="11" t="s">
        <v>43</v>
      </c>
      <c r="M16" s="11" t="s">
        <v>44</v>
      </c>
      <c r="N16" s="11" t="s">
        <v>43</v>
      </c>
      <c r="O16" s="11" t="s">
        <v>43</v>
      </c>
      <c r="P16" s="11" t="s">
        <v>44</v>
      </c>
      <c r="Q16" s="11" t="s">
        <v>44</v>
      </c>
    </row>
    <row r="17" spans="1:17">
      <c r="A17" s="11" t="s">
        <v>43</v>
      </c>
      <c r="B17" s="11" t="s">
        <v>46</v>
      </c>
      <c r="C17" s="11" t="s">
        <v>44</v>
      </c>
      <c r="D17" s="11" t="s">
        <v>43</v>
      </c>
      <c r="E17" s="11" t="s">
        <v>43</v>
      </c>
      <c r="F17" s="11" t="s">
        <v>43</v>
      </c>
      <c r="G17" s="11" t="s">
        <v>43</v>
      </c>
      <c r="H17" s="11" t="s">
        <v>46</v>
      </c>
      <c r="I17" s="11" t="s">
        <v>43</v>
      </c>
      <c r="J17" s="11" t="s">
        <v>43</v>
      </c>
      <c r="K17" s="11" t="s">
        <v>43</v>
      </c>
      <c r="L17" s="11" t="s">
        <v>43</v>
      </c>
      <c r="M17" s="11" t="s">
        <v>43</v>
      </c>
      <c r="N17" s="11" t="s">
        <v>46</v>
      </c>
      <c r="O17" s="11" t="s">
        <v>43</v>
      </c>
      <c r="P17" s="11" t="s">
        <v>43</v>
      </c>
      <c r="Q17" s="11" t="s">
        <v>43</v>
      </c>
    </row>
    <row r="18" spans="1:17">
      <c r="A18" s="11" t="s">
        <v>43</v>
      </c>
      <c r="B18" s="11" t="s">
        <v>43</v>
      </c>
      <c r="C18" s="11" t="s">
        <v>43</v>
      </c>
      <c r="D18" s="11" t="s">
        <v>43</v>
      </c>
      <c r="E18" s="11" t="s">
        <v>43</v>
      </c>
      <c r="F18" s="11" t="s">
        <v>43</v>
      </c>
      <c r="G18" s="11" t="s">
        <v>43</v>
      </c>
      <c r="H18" s="11" t="s">
        <v>43</v>
      </c>
      <c r="I18" s="11" t="s">
        <v>43</v>
      </c>
      <c r="J18" s="11" t="s">
        <v>43</v>
      </c>
      <c r="K18" s="11" t="s">
        <v>43</v>
      </c>
      <c r="L18" s="11" t="s">
        <v>43</v>
      </c>
      <c r="M18" s="11" t="s">
        <v>43</v>
      </c>
      <c r="N18" s="11" t="s">
        <v>43</v>
      </c>
      <c r="O18" s="11" t="s">
        <v>43</v>
      </c>
      <c r="P18" s="11" t="s">
        <v>43</v>
      </c>
      <c r="Q18" s="11" t="s">
        <v>43</v>
      </c>
    </row>
    <row r="19" spans="1:17">
      <c r="A19" s="11" t="s">
        <v>46</v>
      </c>
      <c r="B19" s="11" t="s">
        <v>46</v>
      </c>
      <c r="C19" s="11" t="s">
        <v>46</v>
      </c>
      <c r="D19" s="11" t="s">
        <v>44</v>
      </c>
      <c r="E19" s="11" t="s">
        <v>45</v>
      </c>
      <c r="F19" s="11" t="s">
        <v>46</v>
      </c>
      <c r="G19" s="11" t="s">
        <v>44</v>
      </c>
      <c r="H19" s="11" t="s">
        <v>44</v>
      </c>
      <c r="I19" s="11" t="s">
        <v>46</v>
      </c>
      <c r="J19" s="11" t="s">
        <v>46</v>
      </c>
      <c r="K19" s="11" t="s">
        <v>44</v>
      </c>
      <c r="L19" s="11" t="s">
        <v>44</v>
      </c>
      <c r="M19" s="11" t="s">
        <v>44</v>
      </c>
      <c r="N19" s="11" t="s">
        <v>44</v>
      </c>
      <c r="O19" s="11" t="s">
        <v>46</v>
      </c>
      <c r="P19" s="11" t="s">
        <v>44</v>
      </c>
      <c r="Q19" s="11" t="s">
        <v>44</v>
      </c>
    </row>
    <row r="20" spans="1:17">
      <c r="A20" s="11" t="s">
        <v>43</v>
      </c>
      <c r="B20" s="11" t="s">
        <v>43</v>
      </c>
      <c r="C20" s="11" t="s">
        <v>43</v>
      </c>
      <c r="D20" s="11" t="s">
        <v>43</v>
      </c>
      <c r="E20" s="11" t="s">
        <v>43</v>
      </c>
      <c r="F20" s="11" t="s">
        <v>43</v>
      </c>
      <c r="G20" s="11" t="s">
        <v>43</v>
      </c>
      <c r="H20" s="11" t="s">
        <v>43</v>
      </c>
      <c r="I20" s="11" t="s">
        <v>43</v>
      </c>
      <c r="J20" s="11" t="s">
        <v>43</v>
      </c>
      <c r="K20" s="11" t="s">
        <v>43</v>
      </c>
      <c r="L20" s="11" t="s">
        <v>43</v>
      </c>
      <c r="M20" s="11" t="s">
        <v>43</v>
      </c>
      <c r="N20" s="11" t="s">
        <v>43</v>
      </c>
      <c r="O20" s="11" t="s">
        <v>43</v>
      </c>
      <c r="P20" s="11" t="s">
        <v>43</v>
      </c>
      <c r="Q20" s="11" t="s">
        <v>43</v>
      </c>
    </row>
    <row r="21" spans="1:17">
      <c r="A21" s="11" t="s">
        <v>46</v>
      </c>
      <c r="B21" s="11" t="s">
        <v>44</v>
      </c>
      <c r="C21" s="11" t="s">
        <v>44</v>
      </c>
      <c r="D21" s="11" t="s">
        <v>44</v>
      </c>
      <c r="E21" s="11" t="s">
        <v>43</v>
      </c>
      <c r="F21" s="11" t="s">
        <v>43</v>
      </c>
      <c r="G21" s="11" t="s">
        <v>44</v>
      </c>
      <c r="H21" s="11" t="s">
        <v>43</v>
      </c>
      <c r="I21" s="11" t="s">
        <v>44</v>
      </c>
      <c r="J21" s="11" t="s">
        <v>44</v>
      </c>
      <c r="K21" s="11" t="s">
        <v>44</v>
      </c>
      <c r="L21" s="11" t="s">
        <v>44</v>
      </c>
      <c r="M21" s="11" t="s">
        <v>43</v>
      </c>
      <c r="N21" s="11" t="s">
        <v>44</v>
      </c>
      <c r="O21" s="11" t="s">
        <v>44</v>
      </c>
      <c r="P21" s="11" t="s">
        <v>44</v>
      </c>
      <c r="Q21" s="11" t="s">
        <v>44</v>
      </c>
    </row>
    <row r="22" spans="1:17">
      <c r="A22" s="11" t="s">
        <v>44</v>
      </c>
      <c r="B22" s="11" t="s">
        <v>45</v>
      </c>
      <c r="C22" s="11" t="s">
        <v>46</v>
      </c>
      <c r="D22" s="11" t="s">
        <v>44</v>
      </c>
      <c r="E22" s="11" t="s">
        <v>44</v>
      </c>
      <c r="F22" s="11" t="s">
        <v>44</v>
      </c>
      <c r="G22" s="11" t="s">
        <v>46</v>
      </c>
      <c r="H22" s="11" t="s">
        <v>46</v>
      </c>
      <c r="I22" s="11" t="s">
        <v>43</v>
      </c>
      <c r="J22" s="11" t="s">
        <v>43</v>
      </c>
      <c r="K22" s="11" t="s">
        <v>43</v>
      </c>
      <c r="L22" s="11" t="s">
        <v>43</v>
      </c>
      <c r="M22" s="11" t="s">
        <v>43</v>
      </c>
      <c r="N22" s="11" t="s">
        <v>43</v>
      </c>
      <c r="O22" s="11" t="s">
        <v>43</v>
      </c>
      <c r="P22" s="11" t="s">
        <v>43</v>
      </c>
      <c r="Q22" s="11" t="s">
        <v>43</v>
      </c>
    </row>
    <row r="23" spans="1:17">
      <c r="A23" s="11" t="s">
        <v>43</v>
      </c>
      <c r="B23" s="11" t="s">
        <v>43</v>
      </c>
      <c r="C23" s="11" t="s">
        <v>46</v>
      </c>
      <c r="D23" s="11" t="s">
        <v>46</v>
      </c>
      <c r="E23" s="11" t="s">
        <v>46</v>
      </c>
      <c r="F23" s="11" t="s">
        <v>46</v>
      </c>
      <c r="G23" s="11" t="s">
        <v>46</v>
      </c>
      <c r="H23" s="11" t="s">
        <v>46</v>
      </c>
      <c r="I23" s="11" t="s">
        <v>46</v>
      </c>
      <c r="J23" s="11" t="s">
        <v>46</v>
      </c>
      <c r="K23" s="11" t="s">
        <v>46</v>
      </c>
      <c r="L23" s="11" t="s">
        <v>46</v>
      </c>
      <c r="M23" s="11" t="s">
        <v>46</v>
      </c>
      <c r="N23" s="11" t="s">
        <v>46</v>
      </c>
      <c r="O23" s="11" t="s">
        <v>46</v>
      </c>
      <c r="P23" s="11" t="s">
        <v>46</v>
      </c>
      <c r="Q23" s="11" t="s">
        <v>46</v>
      </c>
    </row>
    <row r="24" spans="1:17">
      <c r="A24" s="11" t="s">
        <v>43</v>
      </c>
      <c r="B24" s="11" t="s">
        <v>43</v>
      </c>
      <c r="C24" s="11" t="s">
        <v>43</v>
      </c>
      <c r="D24" s="11" t="s">
        <v>44</v>
      </c>
      <c r="E24" s="11" t="s">
        <v>43</v>
      </c>
      <c r="F24" s="11" t="s">
        <v>43</v>
      </c>
      <c r="G24" s="11" t="s">
        <v>44</v>
      </c>
      <c r="H24" s="11" t="s">
        <v>43</v>
      </c>
      <c r="I24" s="11" t="s">
        <v>43</v>
      </c>
      <c r="J24" s="11" t="s">
        <v>43</v>
      </c>
      <c r="K24" s="11" t="s">
        <v>43</v>
      </c>
      <c r="L24" s="11" t="s">
        <v>43</v>
      </c>
      <c r="M24" s="11" t="s">
        <v>43</v>
      </c>
      <c r="N24" s="11" t="s">
        <v>43</v>
      </c>
      <c r="O24" s="11" t="s">
        <v>43</v>
      </c>
      <c r="P24" s="11" t="s">
        <v>43</v>
      </c>
      <c r="Q24" s="11" t="s">
        <v>43</v>
      </c>
    </row>
    <row r="25" spans="1:17">
      <c r="A25" s="11" t="s">
        <v>44</v>
      </c>
      <c r="B25" s="11" t="s">
        <v>43</v>
      </c>
      <c r="C25" s="11" t="s">
        <v>46</v>
      </c>
      <c r="D25" s="11" t="s">
        <v>44</v>
      </c>
      <c r="E25" s="11" t="s">
        <v>43</v>
      </c>
      <c r="F25" s="11" t="s">
        <v>44</v>
      </c>
      <c r="G25" s="11" t="s">
        <v>44</v>
      </c>
      <c r="H25" s="11" t="s">
        <v>44</v>
      </c>
      <c r="I25" s="11" t="s">
        <v>44</v>
      </c>
      <c r="J25" s="11" t="s">
        <v>44</v>
      </c>
      <c r="K25" s="11" t="s">
        <v>44</v>
      </c>
      <c r="L25" s="11" t="s">
        <v>44</v>
      </c>
      <c r="M25" s="11" t="s">
        <v>43</v>
      </c>
      <c r="N25" s="11" t="s">
        <v>44</v>
      </c>
      <c r="O25" s="11" t="s">
        <v>44</v>
      </c>
      <c r="P25" s="11" t="s">
        <v>43</v>
      </c>
      <c r="Q25" s="11" t="s">
        <v>43</v>
      </c>
    </row>
    <row r="26" spans="1:17">
      <c r="A26" s="11" t="s">
        <v>46</v>
      </c>
      <c r="B26" s="11" t="s">
        <v>46</v>
      </c>
      <c r="C26" s="11" t="s">
        <v>46</v>
      </c>
      <c r="D26" s="11" t="s">
        <v>46</v>
      </c>
      <c r="E26" s="11" t="s">
        <v>46</v>
      </c>
      <c r="F26" s="11" t="s">
        <v>46</v>
      </c>
      <c r="G26" s="11" t="s">
        <v>46</v>
      </c>
      <c r="H26" s="11" t="s">
        <v>46</v>
      </c>
      <c r="I26" s="11" t="s">
        <v>46</v>
      </c>
      <c r="J26" s="11" t="s">
        <v>46</v>
      </c>
      <c r="K26" s="11" t="s">
        <v>46</v>
      </c>
      <c r="L26" s="11" t="s">
        <v>46</v>
      </c>
      <c r="M26" s="11" t="s">
        <v>46</v>
      </c>
      <c r="N26" s="11" t="s">
        <v>46</v>
      </c>
      <c r="O26" s="11" t="s">
        <v>46</v>
      </c>
      <c r="P26" s="11" t="s">
        <v>46</v>
      </c>
      <c r="Q26" s="11" t="s">
        <v>46</v>
      </c>
    </row>
    <row r="27" spans="1:17">
      <c r="A27" s="11" t="s">
        <v>43</v>
      </c>
      <c r="B27" s="11" t="s">
        <v>47</v>
      </c>
      <c r="C27" s="11" t="s">
        <v>45</v>
      </c>
      <c r="D27" s="11" t="s">
        <v>43</v>
      </c>
      <c r="E27" s="11" t="s">
        <v>43</v>
      </c>
      <c r="F27" s="11" t="s">
        <v>46</v>
      </c>
      <c r="G27" s="11" t="s">
        <v>44</v>
      </c>
      <c r="H27" s="11" t="s">
        <v>44</v>
      </c>
      <c r="I27" s="11" t="s">
        <v>44</v>
      </c>
      <c r="J27" s="11" t="s">
        <v>46</v>
      </c>
      <c r="K27" s="11" t="s">
        <v>45</v>
      </c>
      <c r="L27" s="11" t="s">
        <v>45</v>
      </c>
      <c r="M27" s="11" t="s">
        <v>46</v>
      </c>
      <c r="N27" s="11" t="s">
        <v>44</v>
      </c>
      <c r="O27" s="11" t="s">
        <v>45</v>
      </c>
      <c r="P27" s="11" t="s">
        <v>45</v>
      </c>
      <c r="Q27" s="11" t="s">
        <v>44</v>
      </c>
    </row>
    <row r="28" spans="1:17">
      <c r="A28" s="11" t="s">
        <v>46</v>
      </c>
      <c r="B28" s="11" t="s">
        <v>44</v>
      </c>
      <c r="C28" s="11" t="s">
        <v>45</v>
      </c>
      <c r="D28" s="11" t="s">
        <v>44</v>
      </c>
      <c r="E28" s="11" t="s">
        <v>46</v>
      </c>
      <c r="F28" s="11" t="s">
        <v>46</v>
      </c>
      <c r="G28" s="11" t="s">
        <v>46</v>
      </c>
      <c r="H28" s="11" t="s">
        <v>43</v>
      </c>
      <c r="I28" s="11" t="s">
        <v>44</v>
      </c>
      <c r="J28" s="11" t="s">
        <v>43</v>
      </c>
      <c r="K28" s="11" t="s">
        <v>44</v>
      </c>
      <c r="L28" s="11" t="s">
        <v>43</v>
      </c>
      <c r="M28" s="11" t="s">
        <v>44</v>
      </c>
      <c r="N28" s="11" t="s">
        <v>44</v>
      </c>
      <c r="O28" s="11" t="s">
        <v>44</v>
      </c>
      <c r="P28" s="11" t="s">
        <v>44</v>
      </c>
      <c r="Q28" s="11" t="s">
        <v>45</v>
      </c>
    </row>
    <row r="29" spans="1:17">
      <c r="A29" s="11" t="s">
        <v>43</v>
      </c>
      <c r="B29" s="11" t="s">
        <v>43</v>
      </c>
      <c r="C29" s="11" t="s">
        <v>44</v>
      </c>
      <c r="D29" s="11" t="s">
        <v>44</v>
      </c>
      <c r="E29" s="11" t="s">
        <v>44</v>
      </c>
      <c r="F29" s="11" t="s">
        <v>44</v>
      </c>
      <c r="G29" s="11" t="s">
        <v>44</v>
      </c>
      <c r="H29" s="11" t="s">
        <v>43</v>
      </c>
      <c r="I29" s="11" t="s">
        <v>43</v>
      </c>
      <c r="J29" s="11" t="s">
        <v>44</v>
      </c>
      <c r="K29" s="11" t="s">
        <v>44</v>
      </c>
      <c r="L29" s="11" t="s">
        <v>44</v>
      </c>
      <c r="M29" s="11" t="s">
        <v>44</v>
      </c>
      <c r="N29" s="11" t="s">
        <v>44</v>
      </c>
      <c r="O29" s="11" t="s">
        <v>44</v>
      </c>
      <c r="P29" s="11" t="s">
        <v>43</v>
      </c>
      <c r="Q29" s="11" t="s">
        <v>46</v>
      </c>
    </row>
    <row r="30" spans="1:17">
      <c r="A30" s="11" t="s">
        <v>44</v>
      </c>
      <c r="B30" s="11" t="s">
        <v>44</v>
      </c>
      <c r="C30" s="11" t="s">
        <v>45</v>
      </c>
      <c r="D30" s="11" t="s">
        <v>44</v>
      </c>
      <c r="E30" s="11" t="s">
        <v>43</v>
      </c>
      <c r="F30" s="11" t="s">
        <v>43</v>
      </c>
      <c r="G30" s="11" t="s">
        <v>44</v>
      </c>
      <c r="H30" s="11" t="s">
        <v>44</v>
      </c>
      <c r="I30" s="11" t="s">
        <v>44</v>
      </c>
      <c r="J30" s="11" t="s">
        <v>44</v>
      </c>
      <c r="K30" s="11" t="s">
        <v>44</v>
      </c>
      <c r="L30" s="11" t="s">
        <v>44</v>
      </c>
      <c r="M30" s="11" t="s">
        <v>44</v>
      </c>
      <c r="N30" s="11" t="s">
        <v>44</v>
      </c>
      <c r="O30" s="11" t="s">
        <v>45</v>
      </c>
      <c r="P30" s="11" t="s">
        <v>44</v>
      </c>
      <c r="Q30" s="11" t="s">
        <v>44</v>
      </c>
    </row>
    <row r="31" spans="1:17">
      <c r="A31" s="11" t="s">
        <v>44</v>
      </c>
      <c r="B31" s="11" t="s">
        <v>47</v>
      </c>
      <c r="C31" s="11" t="s">
        <v>47</v>
      </c>
      <c r="D31" s="11" t="s">
        <v>43</v>
      </c>
      <c r="E31" s="11" t="s">
        <v>43</v>
      </c>
      <c r="F31" s="11" t="s">
        <v>46</v>
      </c>
      <c r="G31" s="11" t="s">
        <v>45</v>
      </c>
      <c r="H31" s="11" t="s">
        <v>43</v>
      </c>
      <c r="I31" s="11" t="s">
        <v>44</v>
      </c>
      <c r="J31" s="11" t="s">
        <v>44</v>
      </c>
      <c r="K31" s="11" t="s">
        <v>43</v>
      </c>
      <c r="L31" s="11" t="s">
        <v>44</v>
      </c>
      <c r="M31" s="11" t="s">
        <v>44</v>
      </c>
      <c r="N31" s="11" t="s">
        <v>44</v>
      </c>
      <c r="O31" s="11" t="s">
        <v>45</v>
      </c>
      <c r="P31" s="11" t="s">
        <v>44</v>
      </c>
      <c r="Q31" s="11" t="s">
        <v>43</v>
      </c>
    </row>
    <row r="32" spans="1:17">
      <c r="A32" s="11" t="s">
        <v>44</v>
      </c>
      <c r="B32" s="11" t="s">
        <v>45</v>
      </c>
      <c r="C32" s="11" t="s">
        <v>44</v>
      </c>
      <c r="D32" s="11" t="s">
        <v>44</v>
      </c>
      <c r="E32" s="11" t="s">
        <v>44</v>
      </c>
      <c r="F32" s="11" t="s">
        <v>44</v>
      </c>
      <c r="G32" s="11" t="s">
        <v>44</v>
      </c>
      <c r="H32" s="11" t="s">
        <v>44</v>
      </c>
      <c r="I32" s="11" t="s">
        <v>44</v>
      </c>
      <c r="J32" s="11" t="s">
        <v>44</v>
      </c>
      <c r="K32" s="11" t="s">
        <v>44</v>
      </c>
      <c r="L32" s="11" t="s">
        <v>44</v>
      </c>
      <c r="M32" s="11" t="s">
        <v>44</v>
      </c>
      <c r="N32" s="11" t="s">
        <v>44</v>
      </c>
      <c r="O32" s="11" t="s">
        <v>44</v>
      </c>
      <c r="P32" s="11" t="s">
        <v>44</v>
      </c>
      <c r="Q32" s="11" t="s">
        <v>44</v>
      </c>
    </row>
    <row r="33" spans="1:17">
      <c r="A33" s="11" t="s">
        <v>43</v>
      </c>
      <c r="B33" s="11" t="s">
        <v>44</v>
      </c>
      <c r="C33" s="11" t="s">
        <v>46</v>
      </c>
      <c r="D33" s="11" t="s">
        <v>44</v>
      </c>
      <c r="E33" s="11" t="s">
        <v>44</v>
      </c>
      <c r="F33" s="11" t="s">
        <v>44</v>
      </c>
      <c r="G33" s="11" t="s">
        <v>44</v>
      </c>
      <c r="H33" s="11" t="s">
        <v>44</v>
      </c>
      <c r="I33" s="11" t="s">
        <v>44</v>
      </c>
      <c r="J33" s="11" t="s">
        <v>44</v>
      </c>
      <c r="K33" s="11" t="s">
        <v>44</v>
      </c>
      <c r="L33" s="11" t="s">
        <v>44</v>
      </c>
      <c r="M33" s="11" t="s">
        <v>44</v>
      </c>
      <c r="N33" s="11" t="s">
        <v>44</v>
      </c>
      <c r="O33" s="11" t="s">
        <v>44</v>
      </c>
      <c r="P33" s="11" t="s">
        <v>44</v>
      </c>
      <c r="Q33" s="11" t="s">
        <v>44</v>
      </c>
    </row>
    <row r="34" spans="1:17">
      <c r="A34" s="11" t="s">
        <v>43</v>
      </c>
      <c r="B34" s="11" t="s">
        <v>47</v>
      </c>
      <c r="C34" s="11" t="s">
        <v>47</v>
      </c>
      <c r="D34" s="11" t="s">
        <v>47</v>
      </c>
      <c r="E34" s="11" t="s">
        <v>43</v>
      </c>
      <c r="F34" s="11" t="s">
        <v>46</v>
      </c>
      <c r="G34" s="11" t="s">
        <v>44</v>
      </c>
      <c r="H34" s="11" t="s">
        <v>46</v>
      </c>
      <c r="I34" s="11" t="s">
        <v>43</v>
      </c>
      <c r="J34" s="11" t="s">
        <v>43</v>
      </c>
      <c r="K34" s="11" t="s">
        <v>43</v>
      </c>
      <c r="L34" s="11" t="s">
        <v>43</v>
      </c>
      <c r="M34" s="11" t="s">
        <v>43</v>
      </c>
      <c r="N34" s="11" t="s">
        <v>43</v>
      </c>
      <c r="O34" s="11" t="s">
        <v>43</v>
      </c>
      <c r="P34" s="11" t="s">
        <v>43</v>
      </c>
      <c r="Q34" s="11" t="s">
        <v>43</v>
      </c>
    </row>
    <row r="35" spans="1:17">
      <c r="A35" s="11" t="s">
        <v>43</v>
      </c>
      <c r="B35" s="11" t="s">
        <v>43</v>
      </c>
      <c r="C35" s="11" t="s">
        <v>43</v>
      </c>
      <c r="D35" s="11" t="s">
        <v>43</v>
      </c>
      <c r="E35" s="11" t="s">
        <v>43</v>
      </c>
      <c r="F35" s="11" t="s">
        <v>43</v>
      </c>
      <c r="G35" s="11" t="s">
        <v>43</v>
      </c>
      <c r="H35" s="11" t="s">
        <v>43</v>
      </c>
      <c r="I35" s="11" t="s">
        <v>43</v>
      </c>
      <c r="J35" s="11" t="s">
        <v>43</v>
      </c>
      <c r="K35" s="11" t="s">
        <v>43</v>
      </c>
      <c r="L35" s="11" t="s">
        <v>43</v>
      </c>
      <c r="M35" s="11" t="s">
        <v>43</v>
      </c>
      <c r="N35" s="11" t="s">
        <v>43</v>
      </c>
      <c r="O35" s="11" t="s">
        <v>43</v>
      </c>
      <c r="P35" s="11" t="s">
        <v>43</v>
      </c>
      <c r="Q35" s="11" t="s">
        <v>43</v>
      </c>
    </row>
    <row r="36" spans="1:17">
      <c r="A36" s="11" t="s">
        <v>44</v>
      </c>
      <c r="B36" s="11" t="s">
        <v>46</v>
      </c>
      <c r="C36" s="11" t="s">
        <v>44</v>
      </c>
      <c r="D36" s="11" t="s">
        <v>44</v>
      </c>
      <c r="E36" s="11" t="s">
        <v>46</v>
      </c>
      <c r="F36" s="11" t="s">
        <v>44</v>
      </c>
      <c r="G36" s="11" t="s">
        <v>44</v>
      </c>
      <c r="H36" s="11" t="s">
        <v>44</v>
      </c>
      <c r="I36" s="11" t="s">
        <v>46</v>
      </c>
      <c r="J36" s="11" t="s">
        <v>46</v>
      </c>
      <c r="K36" s="11" t="s">
        <v>46</v>
      </c>
      <c r="L36" s="11" t="s">
        <v>44</v>
      </c>
      <c r="M36" s="11" t="s">
        <v>44</v>
      </c>
      <c r="N36" s="11" t="s">
        <v>44</v>
      </c>
      <c r="O36" s="11" t="s">
        <v>46</v>
      </c>
      <c r="P36" s="11" t="s">
        <v>44</v>
      </c>
      <c r="Q36" s="11" t="s">
        <v>44</v>
      </c>
    </row>
    <row r="37" spans="1:17">
      <c r="A37" s="11" t="s">
        <v>44</v>
      </c>
      <c r="B37" s="11" t="s">
        <v>44</v>
      </c>
      <c r="C37" s="11" t="s">
        <v>44</v>
      </c>
      <c r="D37" s="11" t="s">
        <v>44</v>
      </c>
      <c r="E37" s="11" t="s">
        <v>44</v>
      </c>
      <c r="F37" s="11" t="s">
        <v>44</v>
      </c>
      <c r="G37" s="11" t="s">
        <v>44</v>
      </c>
      <c r="H37" s="11" t="s">
        <v>44</v>
      </c>
      <c r="I37" s="11" t="s">
        <v>44</v>
      </c>
      <c r="J37" s="11" t="s">
        <v>44</v>
      </c>
      <c r="K37" s="11" t="s">
        <v>44</v>
      </c>
      <c r="L37" s="11" t="s">
        <v>44</v>
      </c>
      <c r="M37" s="11" t="s">
        <v>44</v>
      </c>
      <c r="N37" s="11" t="s">
        <v>44</v>
      </c>
      <c r="O37" s="11" t="s">
        <v>44</v>
      </c>
      <c r="P37" s="11" t="s">
        <v>44</v>
      </c>
      <c r="Q37" s="11" t="s">
        <v>44</v>
      </c>
    </row>
    <row r="38" spans="1:17">
      <c r="A38" s="11" t="s">
        <v>44</v>
      </c>
      <c r="B38" s="11" t="s">
        <v>45</v>
      </c>
      <c r="C38" s="11" t="s">
        <v>44</v>
      </c>
      <c r="D38" s="11" t="s">
        <v>44</v>
      </c>
      <c r="E38" s="11" t="s">
        <v>44</v>
      </c>
      <c r="F38" s="11" t="s">
        <v>44</v>
      </c>
      <c r="G38" s="11" t="s">
        <v>44</v>
      </c>
      <c r="H38" s="11" t="s">
        <v>44</v>
      </c>
      <c r="I38" s="11" t="s">
        <v>44</v>
      </c>
      <c r="J38" s="11" t="s">
        <v>44</v>
      </c>
      <c r="K38" s="11" t="s">
        <v>44</v>
      </c>
      <c r="L38" s="11" t="s">
        <v>44</v>
      </c>
      <c r="M38" s="11" t="s">
        <v>44</v>
      </c>
      <c r="N38" s="11" t="s">
        <v>44</v>
      </c>
      <c r="O38" s="11" t="s">
        <v>44</v>
      </c>
      <c r="P38" s="11" t="s">
        <v>44</v>
      </c>
      <c r="Q38" s="11" t="s">
        <v>44</v>
      </c>
    </row>
    <row r="39" spans="1:17">
      <c r="A39" s="11" t="s">
        <v>44</v>
      </c>
      <c r="B39" s="11" t="s">
        <v>44</v>
      </c>
      <c r="C39" s="11" t="s">
        <v>44</v>
      </c>
      <c r="D39" s="11" t="s">
        <v>44</v>
      </c>
      <c r="E39" s="11" t="s">
        <v>44</v>
      </c>
      <c r="F39" s="11" t="s">
        <v>46</v>
      </c>
      <c r="G39" s="11" t="s">
        <v>46</v>
      </c>
      <c r="H39" s="11" t="s">
        <v>46</v>
      </c>
      <c r="I39" s="11" t="s">
        <v>46</v>
      </c>
      <c r="J39" s="11" t="s">
        <v>46</v>
      </c>
      <c r="K39" s="11" t="s">
        <v>46</v>
      </c>
      <c r="L39" s="11" t="s">
        <v>46</v>
      </c>
      <c r="M39" s="11" t="s">
        <v>46</v>
      </c>
      <c r="N39" s="11" t="s">
        <v>46</v>
      </c>
      <c r="O39" s="11" t="s">
        <v>46</v>
      </c>
      <c r="P39" s="11" t="s">
        <v>46</v>
      </c>
      <c r="Q39" s="11" t="s">
        <v>46</v>
      </c>
    </row>
    <row r="40" spans="1:17">
      <c r="A40" s="11" t="s">
        <v>43</v>
      </c>
      <c r="B40" s="11" t="s">
        <v>46</v>
      </c>
      <c r="C40" s="11" t="s">
        <v>46</v>
      </c>
      <c r="D40" s="11" t="s">
        <v>43</v>
      </c>
      <c r="E40" s="11" t="s">
        <v>43</v>
      </c>
      <c r="F40" s="11" t="s">
        <v>43</v>
      </c>
      <c r="G40" s="11" t="s">
        <v>43</v>
      </c>
      <c r="H40" s="11" t="s">
        <v>44</v>
      </c>
      <c r="I40" s="11" t="s">
        <v>44</v>
      </c>
      <c r="J40" s="11" t="s">
        <v>43</v>
      </c>
      <c r="K40" s="11" t="s">
        <v>43</v>
      </c>
      <c r="L40" s="11" t="s">
        <v>43</v>
      </c>
      <c r="M40" s="11" t="s">
        <v>43</v>
      </c>
      <c r="N40" s="11" t="s">
        <v>43</v>
      </c>
      <c r="O40" s="11" t="s">
        <v>43</v>
      </c>
      <c r="P40" s="11" t="s">
        <v>43</v>
      </c>
      <c r="Q40" s="11" t="s">
        <v>43</v>
      </c>
    </row>
    <row r="41" spans="1:17">
      <c r="A41" s="11" t="s">
        <v>43</v>
      </c>
      <c r="B41" s="11" t="s">
        <v>46</v>
      </c>
      <c r="C41" s="11" t="s">
        <v>46</v>
      </c>
      <c r="D41" s="11" t="s">
        <v>44</v>
      </c>
      <c r="E41" s="11" t="s">
        <v>44</v>
      </c>
      <c r="F41" s="11" t="s">
        <v>44</v>
      </c>
      <c r="G41" s="11" t="s">
        <v>44</v>
      </c>
      <c r="H41" s="11" t="s">
        <v>44</v>
      </c>
      <c r="I41" s="11" t="s">
        <v>43</v>
      </c>
      <c r="J41" s="11" t="s">
        <v>43</v>
      </c>
      <c r="K41" s="11" t="s">
        <v>43</v>
      </c>
      <c r="L41" s="11" t="s">
        <v>44</v>
      </c>
      <c r="M41" s="11" t="s">
        <v>43</v>
      </c>
      <c r="N41" s="11" t="s">
        <v>44</v>
      </c>
      <c r="O41" s="11" t="s">
        <v>43</v>
      </c>
      <c r="P41" s="11" t="s">
        <v>43</v>
      </c>
      <c r="Q41" s="11" t="s">
        <v>43</v>
      </c>
    </row>
    <row r="42" spans="1:17">
      <c r="A42" s="11" t="s">
        <v>43</v>
      </c>
      <c r="B42" s="11" t="s">
        <v>47</v>
      </c>
      <c r="C42" s="11" t="s">
        <v>46</v>
      </c>
      <c r="D42" s="11" t="s">
        <v>45</v>
      </c>
      <c r="E42" s="11" t="s">
        <v>47</v>
      </c>
      <c r="F42" s="11" t="s">
        <v>43</v>
      </c>
      <c r="G42" s="11" t="s">
        <v>46</v>
      </c>
      <c r="H42" s="11" t="s">
        <v>44</v>
      </c>
      <c r="I42" s="11" t="s">
        <v>44</v>
      </c>
      <c r="J42" s="11" t="s">
        <v>44</v>
      </c>
      <c r="K42" s="11" t="s">
        <v>44</v>
      </c>
      <c r="L42" s="11" t="s">
        <v>44</v>
      </c>
      <c r="M42" s="11" t="s">
        <v>44</v>
      </c>
      <c r="N42" s="11" t="s">
        <v>44</v>
      </c>
      <c r="O42" s="11" t="s">
        <v>44</v>
      </c>
      <c r="P42" s="11" t="s">
        <v>44</v>
      </c>
      <c r="Q42" s="11" t="s">
        <v>44</v>
      </c>
    </row>
    <row r="43" spans="1:17">
      <c r="A43" s="11" t="s">
        <v>44</v>
      </c>
      <c r="B43" s="11" t="s">
        <v>47</v>
      </c>
      <c r="C43" s="11" t="s">
        <v>46</v>
      </c>
      <c r="D43" s="11" t="s">
        <v>46</v>
      </c>
      <c r="E43" s="11" t="s">
        <v>44</v>
      </c>
      <c r="F43" s="11" t="s">
        <v>46</v>
      </c>
      <c r="G43" s="11" t="s">
        <v>45</v>
      </c>
      <c r="H43" s="11" t="s">
        <v>44</v>
      </c>
      <c r="I43" s="11" t="s">
        <v>45</v>
      </c>
      <c r="J43" s="11" t="s">
        <v>46</v>
      </c>
      <c r="K43" s="11" t="s">
        <v>44</v>
      </c>
      <c r="L43" s="11" t="s">
        <v>43</v>
      </c>
      <c r="M43" s="11" t="s">
        <v>44</v>
      </c>
      <c r="N43" s="11" t="s">
        <v>43</v>
      </c>
      <c r="O43" s="11" t="s">
        <v>46</v>
      </c>
      <c r="P43" s="11" t="s">
        <v>43</v>
      </c>
      <c r="Q43" s="11" t="s">
        <v>43</v>
      </c>
    </row>
    <row r="44" spans="1:17">
      <c r="A44" s="11" t="s">
        <v>43</v>
      </c>
      <c r="B44" s="11" t="s">
        <v>44</v>
      </c>
      <c r="C44" s="11" t="s">
        <v>44</v>
      </c>
      <c r="D44" s="11" t="s">
        <v>46</v>
      </c>
      <c r="E44" s="11" t="s">
        <v>45</v>
      </c>
      <c r="F44" s="11" t="s">
        <v>45</v>
      </c>
      <c r="G44" s="11" t="s">
        <v>45</v>
      </c>
      <c r="H44" s="11" t="s">
        <v>43</v>
      </c>
      <c r="I44" s="11" t="s">
        <v>44</v>
      </c>
      <c r="J44" s="11" t="s">
        <v>44</v>
      </c>
      <c r="K44" s="11" t="s">
        <v>43</v>
      </c>
      <c r="L44" s="11" t="s">
        <v>44</v>
      </c>
      <c r="M44" s="11" t="s">
        <v>43</v>
      </c>
      <c r="N44" s="11" t="s">
        <v>44</v>
      </c>
      <c r="O44" s="11" t="s">
        <v>44</v>
      </c>
      <c r="P44" s="11" t="s">
        <v>44</v>
      </c>
      <c r="Q44" s="11" t="s">
        <v>44</v>
      </c>
    </row>
    <row r="45" spans="1:17">
      <c r="A45" s="11" t="s">
        <v>47</v>
      </c>
      <c r="B45" s="11" t="s">
        <v>45</v>
      </c>
      <c r="C45" s="11" t="s">
        <v>43</v>
      </c>
      <c r="D45" s="11" t="s">
        <v>43</v>
      </c>
      <c r="E45" s="11" t="s">
        <v>43</v>
      </c>
      <c r="F45" s="11" t="s">
        <v>43</v>
      </c>
      <c r="G45" s="11" t="s">
        <v>43</v>
      </c>
      <c r="H45" s="11" t="s">
        <v>43</v>
      </c>
      <c r="I45" s="11" t="s">
        <v>46</v>
      </c>
      <c r="J45" s="11" t="s">
        <v>43</v>
      </c>
      <c r="K45" s="11" t="s">
        <v>43</v>
      </c>
      <c r="L45" s="11" t="s">
        <v>43</v>
      </c>
      <c r="M45" s="11" t="s">
        <v>43</v>
      </c>
      <c r="N45" s="11" t="s">
        <v>43</v>
      </c>
      <c r="O45" s="11" t="s">
        <v>43</v>
      </c>
      <c r="P45" s="11" t="s">
        <v>43</v>
      </c>
      <c r="Q45" s="11" t="s">
        <v>43</v>
      </c>
    </row>
    <row r="46" spans="1:17">
      <c r="A46" s="11" t="s">
        <v>44</v>
      </c>
      <c r="B46" s="11" t="s">
        <v>46</v>
      </c>
      <c r="C46" s="11" t="s">
        <v>45</v>
      </c>
      <c r="D46" s="11" t="s">
        <v>44</v>
      </c>
      <c r="E46" s="11" t="s">
        <v>43</v>
      </c>
      <c r="F46" s="11" t="s">
        <v>44</v>
      </c>
      <c r="G46" s="11" t="s">
        <v>43</v>
      </c>
      <c r="H46" s="11" t="s">
        <v>43</v>
      </c>
      <c r="I46" s="11" t="s">
        <v>46</v>
      </c>
      <c r="J46" s="11" t="s">
        <v>44</v>
      </c>
      <c r="K46" s="11" t="s">
        <v>46</v>
      </c>
      <c r="L46" s="11" t="s">
        <v>43</v>
      </c>
      <c r="M46" s="11" t="s">
        <v>43</v>
      </c>
      <c r="N46" s="11" t="s">
        <v>43</v>
      </c>
      <c r="O46" s="11" t="s">
        <v>43</v>
      </c>
      <c r="P46" s="11" t="s">
        <v>43</v>
      </c>
      <c r="Q46" s="11" t="s">
        <v>43</v>
      </c>
    </row>
    <row r="47" spans="1:17">
      <c r="A47" s="11" t="s">
        <v>43</v>
      </c>
      <c r="B47" s="11" t="s">
        <v>43</v>
      </c>
      <c r="C47" s="11" t="s">
        <v>43</v>
      </c>
      <c r="D47" s="11" t="s">
        <v>43</v>
      </c>
      <c r="E47" s="11" t="s">
        <v>43</v>
      </c>
      <c r="F47" s="11" t="s">
        <v>43</v>
      </c>
      <c r="G47" s="11" t="s">
        <v>43</v>
      </c>
      <c r="H47" s="11" t="s">
        <v>43</v>
      </c>
      <c r="I47" s="11" t="s">
        <v>43</v>
      </c>
      <c r="J47" s="11" t="s">
        <v>43</v>
      </c>
      <c r="K47" s="11" t="s">
        <v>43</v>
      </c>
      <c r="L47" s="11" t="s">
        <v>43</v>
      </c>
      <c r="M47" s="11" t="s">
        <v>43</v>
      </c>
      <c r="N47" s="11" t="s">
        <v>43</v>
      </c>
      <c r="O47" s="11" t="s">
        <v>43</v>
      </c>
      <c r="P47" s="11" t="s">
        <v>43</v>
      </c>
      <c r="Q47" s="11" t="s">
        <v>43</v>
      </c>
    </row>
    <row r="48" spans="1:17">
      <c r="A48" s="11" t="s">
        <v>46</v>
      </c>
      <c r="B48" s="11" t="s">
        <v>46</v>
      </c>
      <c r="C48" s="11" t="s">
        <v>46</v>
      </c>
      <c r="D48" s="11" t="s">
        <v>46</v>
      </c>
      <c r="E48" s="11" t="s">
        <v>46</v>
      </c>
      <c r="F48" s="11" t="s">
        <v>46</v>
      </c>
      <c r="G48" s="11" t="s">
        <v>46</v>
      </c>
      <c r="H48" s="11" t="s">
        <v>46</v>
      </c>
      <c r="I48" s="11" t="s">
        <v>46</v>
      </c>
      <c r="J48" s="11" t="s">
        <v>46</v>
      </c>
      <c r="K48" s="11" t="s">
        <v>46</v>
      </c>
      <c r="L48" s="11" t="s">
        <v>46</v>
      </c>
      <c r="M48" s="11" t="s">
        <v>46</v>
      </c>
      <c r="N48" s="11" t="s">
        <v>46</v>
      </c>
      <c r="O48" s="11" t="s">
        <v>46</v>
      </c>
      <c r="P48" s="11" t="s">
        <v>46</v>
      </c>
      <c r="Q48" s="11" t="s">
        <v>46</v>
      </c>
    </row>
    <row r="49" spans="1:17">
      <c r="A49" s="11" t="s">
        <v>43</v>
      </c>
      <c r="B49" s="11" t="s">
        <v>47</v>
      </c>
      <c r="C49" s="11" t="s">
        <v>46</v>
      </c>
      <c r="D49" s="11" t="s">
        <v>45</v>
      </c>
      <c r="E49" s="11" t="s">
        <v>43</v>
      </c>
      <c r="F49" s="11" t="s">
        <v>45</v>
      </c>
      <c r="G49" s="11" t="s">
        <v>44</v>
      </c>
      <c r="H49" s="11" t="s">
        <v>44</v>
      </c>
      <c r="I49" s="11" t="s">
        <v>44</v>
      </c>
      <c r="J49" s="11" t="s">
        <v>44</v>
      </c>
      <c r="K49" s="11" t="s">
        <v>44</v>
      </c>
      <c r="L49" s="11" t="s">
        <v>44</v>
      </c>
      <c r="M49" s="11" t="s">
        <v>44</v>
      </c>
      <c r="N49" s="11" t="s">
        <v>44</v>
      </c>
      <c r="O49" s="11" t="s">
        <v>44</v>
      </c>
      <c r="P49" s="11" t="s">
        <v>44</v>
      </c>
      <c r="Q49" s="11" t="s">
        <v>44</v>
      </c>
    </row>
    <row r="50" spans="1:17">
      <c r="A50" s="11" t="s">
        <v>45</v>
      </c>
      <c r="B50" s="11" t="s">
        <v>47</v>
      </c>
      <c r="C50" s="11" t="s">
        <v>47</v>
      </c>
      <c r="D50" s="11" t="s">
        <v>44</v>
      </c>
      <c r="E50" s="11" t="s">
        <v>45</v>
      </c>
      <c r="F50" s="11" t="s">
        <v>47</v>
      </c>
      <c r="G50" s="11" t="s">
        <v>43</v>
      </c>
      <c r="H50" s="11" t="s">
        <v>44</v>
      </c>
      <c r="I50" s="11" t="s">
        <v>47</v>
      </c>
      <c r="J50" s="11" t="s">
        <v>44</v>
      </c>
      <c r="K50" s="11" t="s">
        <v>43</v>
      </c>
      <c r="L50" s="11" t="s">
        <v>44</v>
      </c>
      <c r="M50" s="11" t="s">
        <v>43</v>
      </c>
      <c r="N50" s="11" t="s">
        <v>43</v>
      </c>
      <c r="O50" s="11" t="s">
        <v>43</v>
      </c>
      <c r="P50" s="11" t="s">
        <v>44</v>
      </c>
      <c r="Q50" s="11" t="s">
        <v>43</v>
      </c>
    </row>
    <row r="51" spans="1:17">
      <c r="A51" s="11" t="s">
        <v>46</v>
      </c>
      <c r="B51" s="11" t="s">
        <v>47</v>
      </c>
      <c r="C51" s="11" t="s">
        <v>45</v>
      </c>
      <c r="D51" s="11" t="s">
        <v>43</v>
      </c>
      <c r="E51" s="11" t="s">
        <v>44</v>
      </c>
      <c r="F51" s="11" t="s">
        <v>46</v>
      </c>
      <c r="G51" s="11" t="s">
        <v>44</v>
      </c>
      <c r="H51" s="11" t="s">
        <v>44</v>
      </c>
      <c r="I51" s="11" t="s">
        <v>46</v>
      </c>
      <c r="J51" s="11" t="s">
        <v>43</v>
      </c>
      <c r="K51" s="11" t="s">
        <v>46</v>
      </c>
      <c r="L51" s="11" t="s">
        <v>44</v>
      </c>
      <c r="M51" s="11" t="s">
        <v>44</v>
      </c>
      <c r="N51" s="11" t="s">
        <v>43</v>
      </c>
      <c r="O51" s="11" t="s">
        <v>46</v>
      </c>
      <c r="P51" s="11" t="s">
        <v>44</v>
      </c>
      <c r="Q51" s="11" t="s">
        <v>46</v>
      </c>
    </row>
    <row r="52" spans="1:17">
      <c r="A52" s="11" t="s">
        <v>44</v>
      </c>
      <c r="B52" s="11" t="s">
        <v>44</v>
      </c>
      <c r="C52" s="11" t="s">
        <v>46</v>
      </c>
      <c r="D52" s="11" t="s">
        <v>44</v>
      </c>
      <c r="E52" s="11" t="s">
        <v>43</v>
      </c>
      <c r="F52" s="11" t="s">
        <v>43</v>
      </c>
      <c r="G52" s="11" t="s">
        <v>43</v>
      </c>
      <c r="H52" s="11" t="s">
        <v>43</v>
      </c>
      <c r="I52" s="11" t="s">
        <v>43</v>
      </c>
      <c r="J52" s="11" t="s">
        <v>43</v>
      </c>
      <c r="K52" s="11" t="s">
        <v>43</v>
      </c>
      <c r="L52" s="11" t="s">
        <v>43</v>
      </c>
      <c r="M52" s="11" t="s">
        <v>43</v>
      </c>
      <c r="N52" s="11" t="s">
        <v>43</v>
      </c>
      <c r="O52" s="11" t="s">
        <v>43</v>
      </c>
      <c r="P52" s="11" t="s">
        <v>43</v>
      </c>
      <c r="Q52" s="11" t="s">
        <v>43</v>
      </c>
    </row>
    <row r="53" spans="1:17">
      <c r="A53" s="11" t="s">
        <v>46</v>
      </c>
      <c r="B53" s="11" t="s">
        <v>46</v>
      </c>
      <c r="C53" s="11" t="s">
        <v>46</v>
      </c>
      <c r="D53" s="11" t="s">
        <v>46</v>
      </c>
      <c r="E53" s="11" t="s">
        <v>46</v>
      </c>
      <c r="F53" s="11" t="s">
        <v>46</v>
      </c>
      <c r="G53" s="11" t="s">
        <v>46</v>
      </c>
      <c r="H53" s="11" t="s">
        <v>46</v>
      </c>
      <c r="I53" s="11" t="s">
        <v>46</v>
      </c>
      <c r="J53" s="11" t="s">
        <v>46</v>
      </c>
      <c r="K53" s="11" t="s">
        <v>46</v>
      </c>
      <c r="L53" s="11" t="s">
        <v>46</v>
      </c>
      <c r="M53" s="11" t="s">
        <v>46</v>
      </c>
      <c r="N53" s="11" t="s">
        <v>46</v>
      </c>
      <c r="O53" s="11" t="s">
        <v>46</v>
      </c>
      <c r="P53" s="11" t="s">
        <v>46</v>
      </c>
      <c r="Q53" s="11" t="s">
        <v>46</v>
      </c>
    </row>
    <row r="54" spans="1:17">
      <c r="A54" s="11" t="s">
        <v>44</v>
      </c>
      <c r="B54" s="11" t="s">
        <v>45</v>
      </c>
      <c r="C54" s="11" t="s">
        <v>46</v>
      </c>
      <c r="D54" s="11" t="s">
        <v>45</v>
      </c>
      <c r="E54" s="11" t="s">
        <v>44</v>
      </c>
      <c r="F54" s="11" t="s">
        <v>45</v>
      </c>
      <c r="G54" s="11" t="s">
        <v>44</v>
      </c>
      <c r="H54" s="11" t="s">
        <v>43</v>
      </c>
      <c r="I54" s="11" t="s">
        <v>44</v>
      </c>
      <c r="J54" s="11" t="s">
        <v>45</v>
      </c>
      <c r="K54" s="11" t="s">
        <v>43</v>
      </c>
      <c r="L54" s="11" t="s">
        <v>44</v>
      </c>
      <c r="M54" s="11" t="s">
        <v>43</v>
      </c>
      <c r="N54" s="11" t="s">
        <v>43</v>
      </c>
      <c r="O54" s="11" t="s">
        <v>44</v>
      </c>
      <c r="P54" s="11" t="s">
        <v>43</v>
      </c>
      <c r="Q54" s="11" t="s">
        <v>44</v>
      </c>
    </row>
    <row r="55" spans="1:17">
      <c r="A55" s="11" t="s">
        <v>45</v>
      </c>
      <c r="B55" s="11" t="s">
        <v>45</v>
      </c>
      <c r="C55" s="11" t="s">
        <v>45</v>
      </c>
      <c r="D55" s="11" t="s">
        <v>45</v>
      </c>
      <c r="E55" s="11" t="s">
        <v>45</v>
      </c>
      <c r="F55" s="11" t="s">
        <v>45</v>
      </c>
      <c r="G55" s="11" t="s">
        <v>45</v>
      </c>
      <c r="H55" s="11" t="s">
        <v>45</v>
      </c>
      <c r="I55" s="11" t="s">
        <v>45</v>
      </c>
      <c r="J55" s="11" t="s">
        <v>45</v>
      </c>
      <c r="K55" s="11" t="s">
        <v>45</v>
      </c>
      <c r="L55" s="11" t="s">
        <v>46</v>
      </c>
      <c r="M55" s="11" t="s">
        <v>46</v>
      </c>
      <c r="N55" s="11" t="s">
        <v>46</v>
      </c>
      <c r="O55" s="11" t="s">
        <v>44</v>
      </c>
      <c r="P55" s="11" t="s">
        <v>44</v>
      </c>
      <c r="Q55" s="11" t="s">
        <v>44</v>
      </c>
    </row>
    <row r="56" spans="1:17">
      <c r="A56" s="11" t="s">
        <v>46</v>
      </c>
      <c r="B56" s="11" t="s">
        <v>46</v>
      </c>
      <c r="C56" s="11" t="s">
        <v>43</v>
      </c>
      <c r="D56" s="11" t="s">
        <v>46</v>
      </c>
      <c r="E56" s="11" t="s">
        <v>44</v>
      </c>
      <c r="F56" s="11" t="s">
        <v>44</v>
      </c>
      <c r="G56" s="11" t="s">
        <v>44</v>
      </c>
      <c r="H56" s="11" t="s">
        <v>46</v>
      </c>
      <c r="I56" s="11" t="s">
        <v>46</v>
      </c>
      <c r="J56" s="11" t="s">
        <v>44</v>
      </c>
      <c r="K56" s="11" t="s">
        <v>44</v>
      </c>
      <c r="L56" s="11" t="s">
        <v>46</v>
      </c>
      <c r="M56" s="11" t="s">
        <v>44</v>
      </c>
      <c r="N56" s="11" t="s">
        <v>46</v>
      </c>
      <c r="O56" s="11" t="s">
        <v>43</v>
      </c>
      <c r="P56" s="11" t="s">
        <v>44</v>
      </c>
      <c r="Q56" s="11" t="s">
        <v>46</v>
      </c>
    </row>
    <row r="57" spans="1:17">
      <c r="A57" s="11" t="s">
        <v>45</v>
      </c>
      <c r="B57" s="11" t="s">
        <v>46</v>
      </c>
      <c r="C57" s="11" t="s">
        <v>43</v>
      </c>
      <c r="D57" s="11" t="s">
        <v>46</v>
      </c>
      <c r="E57" s="11" t="s">
        <v>44</v>
      </c>
      <c r="F57" s="11" t="s">
        <v>46</v>
      </c>
      <c r="G57" s="11" t="s">
        <v>43</v>
      </c>
      <c r="H57" s="11" t="s">
        <v>46</v>
      </c>
      <c r="I57" s="11" t="s">
        <v>46</v>
      </c>
      <c r="J57" s="11" t="s">
        <v>43</v>
      </c>
      <c r="K57" s="11" t="s">
        <v>46</v>
      </c>
      <c r="L57" s="11" t="s">
        <v>43</v>
      </c>
      <c r="M57" s="11" t="s">
        <v>46</v>
      </c>
      <c r="N57" s="11" t="s">
        <v>44</v>
      </c>
      <c r="O57" s="11" t="s">
        <v>46</v>
      </c>
      <c r="P57" s="11" t="s">
        <v>46</v>
      </c>
      <c r="Q57" s="11" t="s">
        <v>44</v>
      </c>
    </row>
    <row r="58" spans="1:17">
      <c r="A58" s="11" t="s">
        <v>47</v>
      </c>
      <c r="B58" s="11" t="s">
        <v>45</v>
      </c>
      <c r="C58" s="11" t="s">
        <v>43</v>
      </c>
      <c r="D58" s="11" t="s">
        <v>45</v>
      </c>
      <c r="E58" s="11" t="s">
        <v>47</v>
      </c>
      <c r="F58" s="11" t="s">
        <v>45</v>
      </c>
      <c r="G58" s="11" t="s">
        <v>45</v>
      </c>
      <c r="H58" s="11" t="s">
        <v>46</v>
      </c>
      <c r="I58" s="11" t="s">
        <v>47</v>
      </c>
      <c r="J58" s="11" t="s">
        <v>45</v>
      </c>
      <c r="K58" s="11" t="s">
        <v>47</v>
      </c>
      <c r="L58" s="11" t="s">
        <v>45</v>
      </c>
      <c r="M58" s="11" t="s">
        <v>45</v>
      </c>
      <c r="N58" s="11" t="s">
        <v>45</v>
      </c>
      <c r="O58" s="11" t="s">
        <v>45</v>
      </c>
      <c r="P58" s="11" t="s">
        <v>46</v>
      </c>
      <c r="Q58" s="11" t="s">
        <v>47</v>
      </c>
    </row>
    <row r="59" spans="1:17">
      <c r="A59" s="11" t="s">
        <v>46</v>
      </c>
      <c r="B59" s="11" t="s">
        <v>46</v>
      </c>
      <c r="C59" s="11" t="s">
        <v>43</v>
      </c>
      <c r="D59" s="11" t="s">
        <v>44</v>
      </c>
      <c r="E59" s="11" t="s">
        <v>44</v>
      </c>
      <c r="F59" s="11" t="s">
        <v>44</v>
      </c>
      <c r="G59" s="11" t="s">
        <v>46</v>
      </c>
      <c r="H59" s="11" t="s">
        <v>46</v>
      </c>
      <c r="I59" s="11" t="s">
        <v>46</v>
      </c>
      <c r="J59" s="11" t="s">
        <v>46</v>
      </c>
      <c r="K59" s="11" t="s">
        <v>44</v>
      </c>
      <c r="L59" s="11" t="s">
        <v>46</v>
      </c>
      <c r="M59" s="11" t="s">
        <v>44</v>
      </c>
      <c r="N59" s="11" t="s">
        <v>44</v>
      </c>
      <c r="O59" s="11" t="s">
        <v>44</v>
      </c>
      <c r="P59" s="11" t="s">
        <v>46</v>
      </c>
      <c r="Q59" s="11" t="s">
        <v>46</v>
      </c>
    </row>
    <row r="60" spans="1:17">
      <c r="A60" s="11" t="s">
        <v>46</v>
      </c>
      <c r="B60" s="11" t="s">
        <v>45</v>
      </c>
      <c r="C60" s="11" t="s">
        <v>43</v>
      </c>
      <c r="D60" s="11" t="s">
        <v>46</v>
      </c>
      <c r="E60" s="11" t="s">
        <v>45</v>
      </c>
      <c r="F60" s="11" t="s">
        <v>45</v>
      </c>
      <c r="G60" s="11" t="s">
        <v>46</v>
      </c>
      <c r="H60" s="11" t="s">
        <v>46</v>
      </c>
      <c r="I60" s="11" t="s">
        <v>46</v>
      </c>
      <c r="J60" s="11" t="s">
        <v>45</v>
      </c>
      <c r="K60" s="11" t="s">
        <v>45</v>
      </c>
      <c r="L60" s="11" t="s">
        <v>46</v>
      </c>
      <c r="M60" s="11" t="s">
        <v>47</v>
      </c>
      <c r="N60" s="11" t="s">
        <v>47</v>
      </c>
      <c r="O60" s="11" t="s">
        <v>46</v>
      </c>
      <c r="P60" s="11" t="s">
        <v>45</v>
      </c>
      <c r="Q60" s="11" t="s">
        <v>45</v>
      </c>
    </row>
    <row r="61" spans="1:17">
      <c r="A61" s="11" t="s">
        <v>47</v>
      </c>
      <c r="B61" s="11" t="s">
        <v>47</v>
      </c>
      <c r="C61" s="11" t="s">
        <v>43</v>
      </c>
      <c r="D61" s="11" t="s">
        <v>47</v>
      </c>
      <c r="E61" s="11" t="s">
        <v>46</v>
      </c>
      <c r="F61" s="11" t="s">
        <v>47</v>
      </c>
      <c r="G61" s="11" t="s">
        <v>45</v>
      </c>
      <c r="H61" s="11" t="s">
        <v>47</v>
      </c>
      <c r="I61" s="11" t="s">
        <v>47</v>
      </c>
      <c r="J61" s="11" t="s">
        <v>47</v>
      </c>
      <c r="K61" s="11" t="s">
        <v>45</v>
      </c>
      <c r="L61" s="11" t="s">
        <v>45</v>
      </c>
      <c r="M61" s="11" t="s">
        <v>47</v>
      </c>
      <c r="N61" s="11" t="s">
        <v>47</v>
      </c>
      <c r="O61" s="11" t="s">
        <v>46</v>
      </c>
      <c r="P61" s="11" t="s">
        <v>47</v>
      </c>
      <c r="Q61" s="11" t="s">
        <v>46</v>
      </c>
    </row>
    <row r="62" spans="1:17">
      <c r="A62" s="11" t="s">
        <v>45</v>
      </c>
      <c r="B62" s="11" t="s">
        <v>45</v>
      </c>
      <c r="C62" s="11" t="s">
        <v>43</v>
      </c>
      <c r="D62" s="11" t="s">
        <v>47</v>
      </c>
      <c r="E62" s="11" t="s">
        <v>45</v>
      </c>
      <c r="F62" s="11" t="s">
        <v>45</v>
      </c>
      <c r="G62" s="11" t="s">
        <v>45</v>
      </c>
      <c r="H62" s="11" t="s">
        <v>47</v>
      </c>
      <c r="I62" s="11" t="s">
        <v>45</v>
      </c>
      <c r="J62" s="11" t="s">
        <v>46</v>
      </c>
      <c r="K62" s="11" t="s">
        <v>45</v>
      </c>
      <c r="L62" s="11" t="s">
        <v>45</v>
      </c>
      <c r="M62" s="11" t="s">
        <v>45</v>
      </c>
      <c r="N62" s="11" t="s">
        <v>45</v>
      </c>
      <c r="O62" s="11" t="s">
        <v>45</v>
      </c>
      <c r="P62" s="11" t="s">
        <v>46</v>
      </c>
      <c r="Q62" s="11" t="s">
        <v>45</v>
      </c>
    </row>
    <row r="63" spans="1:17">
      <c r="A63" s="11" t="s">
        <v>43</v>
      </c>
      <c r="B63" s="11" t="s">
        <v>46</v>
      </c>
      <c r="C63" s="11" t="s">
        <v>43</v>
      </c>
      <c r="D63" s="11" t="s">
        <v>46</v>
      </c>
      <c r="E63" s="11" t="s">
        <v>46</v>
      </c>
      <c r="F63" s="11" t="s">
        <v>46</v>
      </c>
      <c r="G63" s="11" t="s">
        <v>46</v>
      </c>
      <c r="H63" s="11" t="s">
        <v>46</v>
      </c>
      <c r="I63" s="11" t="s">
        <v>46</v>
      </c>
      <c r="J63" s="11" t="s">
        <v>44</v>
      </c>
      <c r="K63" s="11" t="s">
        <v>46</v>
      </c>
      <c r="L63" s="11" t="s">
        <v>43</v>
      </c>
      <c r="M63" s="11" t="s">
        <v>43</v>
      </c>
      <c r="N63" s="11" t="s">
        <v>44</v>
      </c>
      <c r="O63" s="11" t="s">
        <v>46</v>
      </c>
      <c r="P63" s="11" t="s">
        <v>46</v>
      </c>
      <c r="Q63" s="11" t="s">
        <v>46</v>
      </c>
    </row>
    <row r="64" spans="1:17">
      <c r="A64" s="11" t="s">
        <v>43</v>
      </c>
      <c r="B64" s="11" t="s">
        <v>45</v>
      </c>
      <c r="C64" s="11" t="s">
        <v>43</v>
      </c>
      <c r="D64" s="11" t="s">
        <v>44</v>
      </c>
      <c r="E64" s="11" t="s">
        <v>46</v>
      </c>
      <c r="F64" s="11" t="s">
        <v>46</v>
      </c>
      <c r="G64" s="11" t="s">
        <v>44</v>
      </c>
      <c r="H64" s="11" t="s">
        <v>43</v>
      </c>
      <c r="I64" s="11" t="s">
        <v>46</v>
      </c>
      <c r="J64" s="11" t="s">
        <v>44</v>
      </c>
      <c r="K64" s="11" t="s">
        <v>44</v>
      </c>
      <c r="L64" s="11" t="s">
        <v>46</v>
      </c>
      <c r="M64" s="11" t="s">
        <v>43</v>
      </c>
      <c r="N64" s="11" t="s">
        <v>46</v>
      </c>
      <c r="O64" s="11" t="s">
        <v>44</v>
      </c>
      <c r="P64" s="11" t="s">
        <v>46</v>
      </c>
      <c r="Q64" s="11" t="s">
        <v>46</v>
      </c>
    </row>
    <row r="65" spans="1:17">
      <c r="A65" s="11" t="s">
        <v>46</v>
      </c>
      <c r="B65" s="11" t="s">
        <v>43</v>
      </c>
      <c r="C65" s="11" t="s">
        <v>43</v>
      </c>
      <c r="D65" s="11" t="s">
        <v>44</v>
      </c>
      <c r="E65" s="11" t="s">
        <v>46</v>
      </c>
      <c r="F65" s="11" t="s">
        <v>44</v>
      </c>
      <c r="G65" s="11" t="s">
        <v>46</v>
      </c>
      <c r="H65" s="11" t="s">
        <v>44</v>
      </c>
      <c r="I65" s="11" t="s">
        <v>46</v>
      </c>
      <c r="J65" s="11" t="s">
        <v>44</v>
      </c>
      <c r="K65" s="11" t="s">
        <v>44</v>
      </c>
      <c r="L65" s="11" t="s">
        <v>44</v>
      </c>
      <c r="M65" s="11" t="s">
        <v>46</v>
      </c>
      <c r="N65" s="11" t="s">
        <v>46</v>
      </c>
      <c r="O65" s="11" t="s">
        <v>43</v>
      </c>
      <c r="P65" s="11" t="s">
        <v>44</v>
      </c>
      <c r="Q65" s="11" t="s">
        <v>46</v>
      </c>
    </row>
    <row r="66" spans="1:17">
      <c r="A66" s="11" t="s">
        <v>46</v>
      </c>
      <c r="B66" s="11" t="s">
        <v>45</v>
      </c>
      <c r="C66" s="11" t="s">
        <v>43</v>
      </c>
      <c r="D66" s="11" t="s">
        <v>46</v>
      </c>
      <c r="E66" s="11" t="s">
        <v>45</v>
      </c>
      <c r="F66" s="11" t="s">
        <v>47</v>
      </c>
      <c r="G66" s="11" t="s">
        <v>45</v>
      </c>
      <c r="H66" s="11" t="s">
        <v>45</v>
      </c>
      <c r="I66" s="11" t="s">
        <v>47</v>
      </c>
      <c r="J66" s="11" t="s">
        <v>47</v>
      </c>
      <c r="K66" s="11" t="s">
        <v>47</v>
      </c>
      <c r="L66" s="11" t="s">
        <v>45</v>
      </c>
      <c r="M66" s="11" t="s">
        <v>46</v>
      </c>
      <c r="N66" s="11" t="s">
        <v>46</v>
      </c>
      <c r="O66" s="11" t="s">
        <v>46</v>
      </c>
      <c r="P66" s="11" t="s">
        <v>47</v>
      </c>
      <c r="Q66" s="11" t="s">
        <v>47</v>
      </c>
    </row>
    <row r="67" spans="1:17">
      <c r="A67" s="11" t="s">
        <v>45</v>
      </c>
      <c r="B67" s="11" t="s">
        <v>46</v>
      </c>
      <c r="C67" s="11" t="s">
        <v>43</v>
      </c>
      <c r="D67" s="11" t="s">
        <v>44</v>
      </c>
      <c r="E67" s="11" t="s">
        <v>46</v>
      </c>
      <c r="F67" s="11" t="s">
        <v>44</v>
      </c>
      <c r="G67" s="11" t="s">
        <v>46</v>
      </c>
      <c r="H67" s="11" t="s">
        <v>46</v>
      </c>
      <c r="I67" s="11" t="s">
        <v>46</v>
      </c>
      <c r="J67" s="11" t="s">
        <v>46</v>
      </c>
      <c r="K67" s="11" t="s">
        <v>44</v>
      </c>
      <c r="L67" s="11" t="s">
        <v>43</v>
      </c>
      <c r="M67" s="11" t="s">
        <v>46</v>
      </c>
      <c r="N67" s="11" t="s">
        <v>44</v>
      </c>
      <c r="O67" s="11" t="s">
        <v>46</v>
      </c>
      <c r="P67" s="11" t="s">
        <v>46</v>
      </c>
      <c r="Q67" s="11" t="s">
        <v>44</v>
      </c>
    </row>
    <row r="68" spans="1:17">
      <c r="A68" s="11" t="s">
        <v>45</v>
      </c>
      <c r="B68" s="11" t="s">
        <v>45</v>
      </c>
      <c r="C68" s="11" t="s">
        <v>43</v>
      </c>
      <c r="D68" s="11" t="s">
        <v>47</v>
      </c>
      <c r="E68" s="11" t="s">
        <v>47</v>
      </c>
      <c r="F68" s="11" t="s">
        <v>47</v>
      </c>
      <c r="G68" s="11" t="s">
        <v>47</v>
      </c>
      <c r="H68" s="11" t="s">
        <v>46</v>
      </c>
      <c r="I68" s="11" t="s">
        <v>45</v>
      </c>
      <c r="J68" s="11" t="s">
        <v>47</v>
      </c>
      <c r="K68" s="11" t="s">
        <v>47</v>
      </c>
      <c r="L68" s="11" t="s">
        <v>45</v>
      </c>
      <c r="M68" s="11" t="s">
        <v>47</v>
      </c>
      <c r="N68" s="11" t="s">
        <v>45</v>
      </c>
      <c r="O68" s="11" t="s">
        <v>47</v>
      </c>
      <c r="P68" s="11" t="s">
        <v>47</v>
      </c>
      <c r="Q68" s="11" t="s">
        <v>47</v>
      </c>
    </row>
    <row r="69" spans="1:17">
      <c r="A69" s="11" t="s">
        <v>45</v>
      </c>
      <c r="B69" s="11" t="s">
        <v>46</v>
      </c>
      <c r="C69" s="11" t="s">
        <v>43</v>
      </c>
      <c r="D69" s="11" t="s">
        <v>46</v>
      </c>
      <c r="E69" s="11" t="s">
        <v>47</v>
      </c>
      <c r="F69" s="11" t="s">
        <v>45</v>
      </c>
      <c r="G69" s="11" t="s">
        <v>47</v>
      </c>
      <c r="H69" s="11" t="s">
        <v>45</v>
      </c>
      <c r="I69" s="11" t="s">
        <v>45</v>
      </c>
      <c r="J69" s="11" t="s">
        <v>45</v>
      </c>
      <c r="K69" s="11" t="s">
        <v>45</v>
      </c>
      <c r="L69" s="11" t="s">
        <v>47</v>
      </c>
      <c r="M69" s="11" t="s">
        <v>45</v>
      </c>
      <c r="N69" s="11" t="s">
        <v>45</v>
      </c>
      <c r="O69" s="11" t="s">
        <v>47</v>
      </c>
      <c r="P69" s="11" t="s">
        <v>45</v>
      </c>
      <c r="Q69" s="11" t="s">
        <v>45</v>
      </c>
    </row>
    <row r="70" spans="1:17">
      <c r="A70" s="11" t="s">
        <v>46</v>
      </c>
      <c r="B70" s="11" t="s">
        <v>47</v>
      </c>
      <c r="C70" s="11" t="s">
        <v>43</v>
      </c>
      <c r="D70" s="11" t="s">
        <v>47</v>
      </c>
      <c r="E70" s="11" t="s">
        <v>45</v>
      </c>
      <c r="F70" s="11" t="s">
        <v>45</v>
      </c>
      <c r="G70" s="11" t="s">
        <v>47</v>
      </c>
      <c r="H70" s="11" t="s">
        <v>46</v>
      </c>
      <c r="I70" s="11" t="s">
        <v>45</v>
      </c>
      <c r="J70" s="11" t="s">
        <v>45</v>
      </c>
      <c r="K70" s="11" t="s">
        <v>45</v>
      </c>
      <c r="L70" s="11" t="s">
        <v>47</v>
      </c>
      <c r="M70" s="11" t="s">
        <v>45</v>
      </c>
      <c r="N70" s="11" t="s">
        <v>45</v>
      </c>
      <c r="O70" s="11" t="s">
        <v>45</v>
      </c>
      <c r="P70" s="11" t="s">
        <v>45</v>
      </c>
      <c r="Q70" s="11" t="s">
        <v>45</v>
      </c>
    </row>
    <row r="71" spans="1:17">
      <c r="A71" s="11" t="s">
        <v>46</v>
      </c>
      <c r="B71" s="11" t="s">
        <v>45</v>
      </c>
      <c r="C71" s="11" t="s">
        <v>43</v>
      </c>
      <c r="D71" s="11" t="s">
        <v>44</v>
      </c>
      <c r="E71" s="11" t="s">
        <v>44</v>
      </c>
      <c r="F71" s="11" t="s">
        <v>44</v>
      </c>
      <c r="G71" s="11" t="s">
        <v>44</v>
      </c>
      <c r="H71" s="11" t="s">
        <v>43</v>
      </c>
      <c r="I71" s="11" t="s">
        <v>46</v>
      </c>
      <c r="J71" s="11" t="s">
        <v>46</v>
      </c>
      <c r="K71" s="11" t="s">
        <v>44</v>
      </c>
      <c r="L71" s="11" t="s">
        <v>44</v>
      </c>
      <c r="M71" s="11" t="s">
        <v>46</v>
      </c>
      <c r="N71" s="11" t="s">
        <v>43</v>
      </c>
      <c r="O71" s="11" t="s">
        <v>46</v>
      </c>
      <c r="P71" s="11" t="s">
        <v>44</v>
      </c>
      <c r="Q71" s="11" t="s">
        <v>46</v>
      </c>
    </row>
    <row r="72" spans="1:17">
      <c r="A72" s="11" t="s">
        <v>46</v>
      </c>
      <c r="B72" s="11" t="s">
        <v>46</v>
      </c>
      <c r="C72" s="11" t="s">
        <v>43</v>
      </c>
      <c r="D72" s="11" t="s">
        <v>44</v>
      </c>
      <c r="E72" s="11" t="s">
        <v>46</v>
      </c>
      <c r="F72" s="11" t="s">
        <v>46</v>
      </c>
      <c r="G72" s="11" t="s">
        <v>46</v>
      </c>
      <c r="H72" s="11" t="s">
        <v>44</v>
      </c>
      <c r="I72" s="11" t="s">
        <v>44</v>
      </c>
      <c r="J72" s="11" t="s">
        <v>46</v>
      </c>
      <c r="K72" s="11" t="s">
        <v>46</v>
      </c>
      <c r="L72" s="11" t="s">
        <v>43</v>
      </c>
      <c r="M72" s="11" t="s">
        <v>44</v>
      </c>
      <c r="N72" s="11" t="s">
        <v>43</v>
      </c>
      <c r="O72" s="11" t="s">
        <v>44</v>
      </c>
      <c r="P72" s="11" t="s">
        <v>43</v>
      </c>
      <c r="Q72" s="11" t="s">
        <v>44</v>
      </c>
    </row>
    <row r="73" spans="1:17">
      <c r="A73" s="11" t="s">
        <v>47</v>
      </c>
      <c r="B73" s="11" t="s">
        <v>45</v>
      </c>
      <c r="C73" s="11" t="s">
        <v>43</v>
      </c>
      <c r="D73" s="11" t="s">
        <v>47</v>
      </c>
      <c r="E73" s="11" t="s">
        <v>47</v>
      </c>
      <c r="F73" s="11" t="s">
        <v>45</v>
      </c>
      <c r="G73" s="11" t="s">
        <v>45</v>
      </c>
      <c r="H73" s="11" t="s">
        <v>45</v>
      </c>
      <c r="I73" s="11" t="s">
        <v>45</v>
      </c>
      <c r="J73" s="11" t="s">
        <v>45</v>
      </c>
      <c r="K73" s="11" t="s">
        <v>45</v>
      </c>
      <c r="L73" s="11" t="s">
        <v>45</v>
      </c>
      <c r="M73" s="11" t="s">
        <v>45</v>
      </c>
      <c r="N73" s="11" t="s">
        <v>45</v>
      </c>
      <c r="O73" s="11" t="s">
        <v>46</v>
      </c>
      <c r="P73" s="11" t="s">
        <v>45</v>
      </c>
      <c r="Q73" s="11" t="s">
        <v>45</v>
      </c>
    </row>
    <row r="74" spans="1:17">
      <c r="A74" s="11" t="s">
        <v>46</v>
      </c>
      <c r="B74" s="11" t="s">
        <v>46</v>
      </c>
      <c r="C74" s="11" t="s">
        <v>43</v>
      </c>
      <c r="D74" s="11" t="s">
        <v>46</v>
      </c>
      <c r="E74" s="11" t="s">
        <v>44</v>
      </c>
      <c r="F74" s="11" t="s">
        <v>44</v>
      </c>
      <c r="G74" s="11" t="s">
        <v>43</v>
      </c>
      <c r="H74" s="11" t="s">
        <v>44</v>
      </c>
      <c r="I74" s="11" t="s">
        <v>44</v>
      </c>
      <c r="J74" s="11" t="s">
        <v>43</v>
      </c>
      <c r="K74" s="11" t="s">
        <v>44</v>
      </c>
      <c r="L74" s="11" t="s">
        <v>46</v>
      </c>
      <c r="M74" s="11" t="s">
        <v>46</v>
      </c>
      <c r="N74" s="11" t="s">
        <v>46</v>
      </c>
      <c r="O74" s="11" t="s">
        <v>43</v>
      </c>
      <c r="P74" s="11" t="s">
        <v>46</v>
      </c>
      <c r="Q74" s="11" t="s">
        <v>44</v>
      </c>
    </row>
    <row r="75" spans="1:17">
      <c r="A75" s="11" t="s">
        <v>47</v>
      </c>
      <c r="B75" s="11" t="s">
        <v>45</v>
      </c>
      <c r="C75" s="11" t="s">
        <v>43</v>
      </c>
      <c r="D75" s="11" t="s">
        <v>46</v>
      </c>
      <c r="E75" s="11" t="s">
        <v>47</v>
      </c>
      <c r="F75" s="11" t="s">
        <v>45</v>
      </c>
      <c r="G75" s="11" t="s">
        <v>47</v>
      </c>
      <c r="H75" s="11" t="s">
        <v>45</v>
      </c>
      <c r="I75" s="11" t="s">
        <v>47</v>
      </c>
      <c r="J75" s="11" t="s">
        <v>45</v>
      </c>
      <c r="K75" s="11" t="s">
        <v>45</v>
      </c>
      <c r="L75" s="11" t="s">
        <v>46</v>
      </c>
      <c r="M75" s="11" t="s">
        <v>47</v>
      </c>
      <c r="N75" s="11" t="s">
        <v>47</v>
      </c>
      <c r="O75" s="11" t="s">
        <v>47</v>
      </c>
      <c r="P75" s="11" t="s">
        <v>46</v>
      </c>
      <c r="Q75" s="11" t="s">
        <v>45</v>
      </c>
    </row>
    <row r="76" spans="1:17">
      <c r="A76" s="11" t="s">
        <v>47</v>
      </c>
      <c r="B76" s="11" t="s">
        <v>47</v>
      </c>
      <c r="C76" s="11" t="s">
        <v>43</v>
      </c>
      <c r="D76" s="11" t="s">
        <v>46</v>
      </c>
      <c r="E76" s="11" t="s">
        <v>47</v>
      </c>
      <c r="F76" s="11" t="s">
        <v>46</v>
      </c>
      <c r="G76" s="11" t="s">
        <v>46</v>
      </c>
      <c r="H76" s="11" t="s">
        <v>47</v>
      </c>
      <c r="I76" s="11" t="s">
        <v>46</v>
      </c>
      <c r="J76" s="11" t="s">
        <v>45</v>
      </c>
      <c r="K76" s="11" t="s">
        <v>46</v>
      </c>
      <c r="L76" s="11" t="s">
        <v>47</v>
      </c>
      <c r="M76" s="11" t="s">
        <v>45</v>
      </c>
      <c r="N76" s="11" t="s">
        <v>47</v>
      </c>
      <c r="O76" s="11" t="s">
        <v>46</v>
      </c>
      <c r="P76" s="11" t="s">
        <v>47</v>
      </c>
      <c r="Q76" s="11" t="s">
        <v>45</v>
      </c>
    </row>
    <row r="77" spans="1:17">
      <c r="A77" s="11" t="s">
        <v>45</v>
      </c>
      <c r="B77" s="11" t="s">
        <v>45</v>
      </c>
      <c r="C77" s="11" t="s">
        <v>43</v>
      </c>
      <c r="D77" s="11" t="s">
        <v>46</v>
      </c>
      <c r="E77" s="11" t="s">
        <v>46</v>
      </c>
      <c r="F77" s="11" t="s">
        <v>44</v>
      </c>
      <c r="G77" s="11" t="s">
        <v>46</v>
      </c>
      <c r="H77" s="11" t="s">
        <v>44</v>
      </c>
      <c r="I77" s="11" t="s">
        <v>46</v>
      </c>
      <c r="J77" s="11" t="s">
        <v>43</v>
      </c>
      <c r="K77" s="11" t="s">
        <v>44</v>
      </c>
      <c r="L77" s="11" t="s">
        <v>44</v>
      </c>
      <c r="M77" s="11" t="s">
        <v>44</v>
      </c>
      <c r="N77" s="11" t="s">
        <v>44</v>
      </c>
      <c r="O77" s="11" t="s">
        <v>43</v>
      </c>
      <c r="P77" s="11" t="s">
        <v>46</v>
      </c>
      <c r="Q77" s="11" t="s">
        <v>46</v>
      </c>
    </row>
    <row r="78" spans="1:17">
      <c r="A78" s="11" t="s">
        <v>43</v>
      </c>
      <c r="B78" s="11" t="s">
        <v>45</v>
      </c>
      <c r="C78" s="11" t="s">
        <v>43</v>
      </c>
      <c r="D78" s="11" t="s">
        <v>46</v>
      </c>
      <c r="E78" s="11" t="s">
        <v>46</v>
      </c>
      <c r="F78" s="11" t="s">
        <v>44</v>
      </c>
      <c r="G78" s="11" t="s">
        <v>43</v>
      </c>
      <c r="H78" s="11" t="s">
        <v>44</v>
      </c>
      <c r="I78" s="11" t="s">
        <v>46</v>
      </c>
      <c r="J78" s="11" t="s">
        <v>46</v>
      </c>
      <c r="K78" s="11" t="s">
        <v>44</v>
      </c>
      <c r="L78" s="11" t="s">
        <v>44</v>
      </c>
      <c r="M78" s="11" t="s">
        <v>44</v>
      </c>
      <c r="N78" s="11" t="s">
        <v>46</v>
      </c>
      <c r="O78" s="11" t="s">
        <v>44</v>
      </c>
      <c r="P78" s="11" t="s">
        <v>44</v>
      </c>
      <c r="Q78" s="11" t="s">
        <v>44</v>
      </c>
    </row>
    <row r="79" spans="1:17">
      <c r="A79" s="11" t="s">
        <v>43</v>
      </c>
      <c r="B79" s="11" t="s">
        <v>46</v>
      </c>
      <c r="C79" s="11" t="s">
        <v>43</v>
      </c>
      <c r="D79" s="11" t="s">
        <v>43</v>
      </c>
      <c r="E79" s="11" t="s">
        <v>44</v>
      </c>
      <c r="F79" s="11" t="s">
        <v>44</v>
      </c>
      <c r="G79" s="11" t="s">
        <v>43</v>
      </c>
      <c r="H79" s="11" t="s">
        <v>43</v>
      </c>
      <c r="I79" s="11" t="s">
        <v>44</v>
      </c>
      <c r="J79" s="11" t="s">
        <v>44</v>
      </c>
      <c r="K79" s="11" t="s">
        <v>44</v>
      </c>
      <c r="L79" s="11" t="s">
        <v>44</v>
      </c>
      <c r="M79" s="11" t="s">
        <v>44</v>
      </c>
      <c r="N79" s="11" t="s">
        <v>46</v>
      </c>
      <c r="O79" s="11" t="s">
        <v>46</v>
      </c>
      <c r="P79" s="11" t="s">
        <v>43</v>
      </c>
      <c r="Q79" s="11" t="s">
        <v>46</v>
      </c>
    </row>
    <row r="80" spans="1:17">
      <c r="A80" s="11" t="s">
        <v>45</v>
      </c>
      <c r="B80" s="11" t="s">
        <v>45</v>
      </c>
      <c r="C80" s="11" t="s">
        <v>43</v>
      </c>
      <c r="D80" s="11" t="s">
        <v>44</v>
      </c>
      <c r="E80" s="11" t="s">
        <v>44</v>
      </c>
      <c r="F80" s="11" t="s">
        <v>46</v>
      </c>
      <c r="G80" s="11" t="s">
        <v>44</v>
      </c>
      <c r="H80" s="11" t="s">
        <v>44</v>
      </c>
      <c r="I80" s="11" t="s">
        <v>46</v>
      </c>
      <c r="J80" s="11" t="s">
        <v>43</v>
      </c>
      <c r="K80" s="11" t="s">
        <v>46</v>
      </c>
      <c r="L80" s="11" t="s">
        <v>43</v>
      </c>
      <c r="M80" s="11" t="s">
        <v>46</v>
      </c>
      <c r="N80" s="11" t="s">
        <v>46</v>
      </c>
      <c r="O80" s="11" t="s">
        <v>44</v>
      </c>
      <c r="P80" s="11" t="s">
        <v>46</v>
      </c>
      <c r="Q80" s="11" t="s">
        <v>46</v>
      </c>
    </row>
    <row r="81" spans="1:17">
      <c r="A81" s="11" t="s">
        <v>45</v>
      </c>
      <c r="B81" s="11" t="s">
        <v>45</v>
      </c>
      <c r="C81" s="11" t="s">
        <v>43</v>
      </c>
      <c r="D81" s="11" t="s">
        <v>47</v>
      </c>
      <c r="E81" s="11" t="s">
        <v>47</v>
      </c>
      <c r="F81" s="11" t="s">
        <v>47</v>
      </c>
      <c r="G81" s="11" t="s">
        <v>46</v>
      </c>
      <c r="H81" s="11" t="s">
        <v>46</v>
      </c>
      <c r="I81" s="11" t="s">
        <v>45</v>
      </c>
      <c r="J81" s="11" t="s">
        <v>45</v>
      </c>
      <c r="K81" s="11" t="s">
        <v>46</v>
      </c>
      <c r="L81" s="11" t="s">
        <v>47</v>
      </c>
      <c r="M81" s="11" t="s">
        <v>46</v>
      </c>
      <c r="N81" s="11" t="s">
        <v>47</v>
      </c>
      <c r="O81" s="11" t="s">
        <v>46</v>
      </c>
      <c r="P81" s="11" t="s">
        <v>45</v>
      </c>
      <c r="Q81" s="11" t="s">
        <v>47</v>
      </c>
    </row>
    <row r="82" spans="1:17">
      <c r="A82" s="11" t="s">
        <v>46</v>
      </c>
      <c r="B82" s="11" t="s">
        <v>46</v>
      </c>
      <c r="C82" s="11" t="s">
        <v>43</v>
      </c>
      <c r="D82" s="11" t="s">
        <v>43</v>
      </c>
      <c r="E82" s="11" t="s">
        <v>44</v>
      </c>
      <c r="F82" s="11" t="s">
        <v>44</v>
      </c>
      <c r="G82" s="11" t="s">
        <v>46</v>
      </c>
      <c r="H82" s="11" t="s">
        <v>43</v>
      </c>
      <c r="I82" s="11" t="s">
        <v>44</v>
      </c>
      <c r="J82" s="11" t="s">
        <v>46</v>
      </c>
      <c r="K82" s="11" t="s">
        <v>44</v>
      </c>
      <c r="L82" s="11" t="s">
        <v>46</v>
      </c>
      <c r="M82" s="11" t="s">
        <v>46</v>
      </c>
      <c r="N82" s="11" t="s">
        <v>44</v>
      </c>
      <c r="O82" s="11" t="s">
        <v>46</v>
      </c>
      <c r="P82" s="11" t="s">
        <v>43</v>
      </c>
      <c r="Q82" s="11" t="s">
        <v>44</v>
      </c>
    </row>
    <row r="83" spans="1:17">
      <c r="A83" s="11" t="s">
        <v>47</v>
      </c>
      <c r="B83" s="11" t="s">
        <v>45</v>
      </c>
      <c r="C83" s="11" t="s">
        <v>43</v>
      </c>
      <c r="D83" s="11" t="s">
        <v>47</v>
      </c>
      <c r="E83" s="11" t="s">
        <v>47</v>
      </c>
      <c r="F83" s="11" t="s">
        <v>47</v>
      </c>
      <c r="G83" s="11" t="s">
        <v>45</v>
      </c>
      <c r="H83" s="11" t="s">
        <v>47</v>
      </c>
      <c r="I83" s="11" t="s">
        <v>45</v>
      </c>
      <c r="J83" s="11" t="s">
        <v>46</v>
      </c>
      <c r="K83" s="11" t="s">
        <v>45</v>
      </c>
      <c r="L83" s="11" t="s">
        <v>45</v>
      </c>
      <c r="M83" s="11" t="s">
        <v>47</v>
      </c>
      <c r="N83" s="11" t="s">
        <v>46</v>
      </c>
      <c r="O83" s="11" t="s">
        <v>45</v>
      </c>
      <c r="P83" s="11" t="s">
        <v>46</v>
      </c>
      <c r="Q83" s="11" t="s">
        <v>47</v>
      </c>
    </row>
    <row r="84" spans="1:17">
      <c r="A84" s="11" t="s">
        <v>44</v>
      </c>
      <c r="B84" s="11" t="s">
        <v>43</v>
      </c>
      <c r="C84" s="11" t="s">
        <v>43</v>
      </c>
      <c r="D84" s="11" t="s">
        <v>46</v>
      </c>
      <c r="E84" s="11" t="s">
        <v>46</v>
      </c>
      <c r="F84" s="11" t="s">
        <v>44</v>
      </c>
      <c r="G84" s="11" t="s">
        <v>46</v>
      </c>
      <c r="H84" s="11" t="s">
        <v>44</v>
      </c>
      <c r="I84" s="11" t="s">
        <v>44</v>
      </c>
      <c r="J84" s="11" t="s">
        <v>46</v>
      </c>
      <c r="K84" s="11" t="s">
        <v>46</v>
      </c>
      <c r="L84" s="11" t="s">
        <v>43</v>
      </c>
      <c r="M84" s="11" t="s">
        <v>44</v>
      </c>
      <c r="N84" s="11" t="s">
        <v>46</v>
      </c>
      <c r="O84" s="11" t="s">
        <v>46</v>
      </c>
      <c r="P84" s="11" t="s">
        <v>43</v>
      </c>
      <c r="Q84" s="11" t="s">
        <v>46</v>
      </c>
    </row>
    <row r="85" spans="1:17">
      <c r="A85" s="11" t="s">
        <v>46</v>
      </c>
      <c r="B85" s="11" t="s">
        <v>45</v>
      </c>
      <c r="C85" s="11" t="s">
        <v>43</v>
      </c>
      <c r="D85" s="11" t="s">
        <v>46</v>
      </c>
      <c r="E85" s="11" t="s">
        <v>44</v>
      </c>
      <c r="F85" s="11" t="s">
        <v>44</v>
      </c>
      <c r="G85" s="11" t="s">
        <v>46</v>
      </c>
      <c r="H85" s="11" t="s">
        <v>44</v>
      </c>
      <c r="I85" s="11" t="s">
        <v>46</v>
      </c>
      <c r="J85" s="11" t="s">
        <v>44</v>
      </c>
      <c r="K85" s="11" t="s">
        <v>46</v>
      </c>
      <c r="L85" s="11" t="s">
        <v>46</v>
      </c>
      <c r="M85" s="11" t="s">
        <v>46</v>
      </c>
      <c r="N85" s="11" t="s">
        <v>44</v>
      </c>
      <c r="O85" s="11" t="s">
        <v>44</v>
      </c>
      <c r="P85" s="11" t="s">
        <v>44</v>
      </c>
      <c r="Q85" s="11" t="s">
        <v>43</v>
      </c>
    </row>
    <row r="86" spans="1:17">
      <c r="A86" s="11" t="s">
        <v>45</v>
      </c>
      <c r="B86" s="11" t="s">
        <v>44</v>
      </c>
      <c r="C86" s="11" t="s">
        <v>43</v>
      </c>
      <c r="D86" s="11" t="s">
        <v>44</v>
      </c>
      <c r="E86" s="11" t="s">
        <v>44</v>
      </c>
      <c r="F86" s="11" t="s">
        <v>43</v>
      </c>
      <c r="G86" s="11" t="s">
        <v>44</v>
      </c>
      <c r="H86" s="11" t="s">
        <v>44</v>
      </c>
      <c r="I86" s="11" t="s">
        <v>46</v>
      </c>
      <c r="J86" s="11" t="s">
        <v>44</v>
      </c>
      <c r="K86" s="11" t="s">
        <v>46</v>
      </c>
      <c r="L86" s="11" t="s">
        <v>43</v>
      </c>
      <c r="M86" s="11" t="s">
        <v>46</v>
      </c>
      <c r="N86" s="11" t="s">
        <v>46</v>
      </c>
      <c r="O86" s="11" t="s">
        <v>46</v>
      </c>
      <c r="P86" s="11" t="s">
        <v>44</v>
      </c>
      <c r="Q86" s="11" t="s">
        <v>44</v>
      </c>
    </row>
    <row r="87" spans="1:17">
      <c r="A87" s="11" t="s">
        <v>45</v>
      </c>
      <c r="B87" s="11" t="s">
        <v>45</v>
      </c>
      <c r="C87" s="11" t="s">
        <v>43</v>
      </c>
      <c r="D87" s="11" t="s">
        <v>44</v>
      </c>
      <c r="E87" s="11" t="s">
        <v>46</v>
      </c>
      <c r="F87" s="11" t="s">
        <v>46</v>
      </c>
      <c r="G87" s="11" t="s">
        <v>43</v>
      </c>
      <c r="H87" s="11" t="s">
        <v>44</v>
      </c>
      <c r="I87" s="11" t="s">
        <v>44</v>
      </c>
      <c r="J87" s="11" t="s">
        <v>46</v>
      </c>
      <c r="K87" s="11" t="s">
        <v>46</v>
      </c>
      <c r="L87" s="11" t="s">
        <v>46</v>
      </c>
      <c r="M87" s="11" t="s">
        <v>44</v>
      </c>
      <c r="N87" s="11" t="s">
        <v>46</v>
      </c>
      <c r="O87" s="11" t="s">
        <v>46</v>
      </c>
      <c r="P87" s="11" t="s">
        <v>43</v>
      </c>
      <c r="Q87" s="11" t="s">
        <v>46</v>
      </c>
    </row>
    <row r="88" spans="1:17">
      <c r="A88" s="11" t="s">
        <v>45</v>
      </c>
      <c r="B88" s="11" t="s">
        <v>46</v>
      </c>
      <c r="C88" s="11" t="s">
        <v>43</v>
      </c>
      <c r="D88" s="11" t="s">
        <v>46</v>
      </c>
      <c r="E88" s="11" t="s">
        <v>46</v>
      </c>
      <c r="F88" s="11" t="s">
        <v>44</v>
      </c>
      <c r="G88" s="11" t="s">
        <v>44</v>
      </c>
      <c r="H88" s="11" t="s">
        <v>46</v>
      </c>
      <c r="I88" s="11" t="s">
        <v>46</v>
      </c>
      <c r="J88" s="11" t="s">
        <v>46</v>
      </c>
      <c r="K88" s="11" t="s">
        <v>46</v>
      </c>
      <c r="L88" s="11" t="s">
        <v>44</v>
      </c>
      <c r="M88" s="11" t="s">
        <v>44</v>
      </c>
      <c r="N88" s="11" t="s">
        <v>44</v>
      </c>
      <c r="O88" s="11" t="s">
        <v>46</v>
      </c>
      <c r="P88" s="11" t="s">
        <v>44</v>
      </c>
      <c r="Q88" s="11" t="s">
        <v>44</v>
      </c>
    </row>
    <row r="89" spans="1:17">
      <c r="A89" s="11" t="s">
        <v>45</v>
      </c>
      <c r="B89" s="11" t="s">
        <v>43</v>
      </c>
      <c r="C89" s="11" t="s">
        <v>43</v>
      </c>
      <c r="D89" s="11" t="s">
        <v>46</v>
      </c>
      <c r="E89" s="11" t="s">
        <v>46</v>
      </c>
      <c r="F89" s="11" t="s">
        <v>43</v>
      </c>
      <c r="G89" s="11" t="s">
        <v>46</v>
      </c>
      <c r="H89" s="11" t="s">
        <v>44</v>
      </c>
      <c r="I89" s="11" t="s">
        <v>44</v>
      </c>
      <c r="J89" s="11" t="s">
        <v>46</v>
      </c>
      <c r="K89" s="11" t="s">
        <v>46</v>
      </c>
      <c r="L89" s="11" t="s">
        <v>46</v>
      </c>
      <c r="M89" s="11" t="s">
        <v>44</v>
      </c>
      <c r="N89" s="11" t="s">
        <v>43</v>
      </c>
      <c r="O89" s="11" t="s">
        <v>46</v>
      </c>
      <c r="P89" s="11" t="s">
        <v>44</v>
      </c>
      <c r="Q89" s="11" t="s">
        <v>44</v>
      </c>
    </row>
    <row r="90" spans="1:17">
      <c r="A90" s="11" t="s">
        <v>46</v>
      </c>
      <c r="B90" s="11" t="s">
        <v>45</v>
      </c>
      <c r="C90" s="11" t="s">
        <v>43</v>
      </c>
      <c r="D90" s="11" t="s">
        <v>44</v>
      </c>
      <c r="E90" s="11" t="s">
        <v>43</v>
      </c>
      <c r="F90" s="11" t="s">
        <v>43</v>
      </c>
      <c r="G90" s="11" t="s">
        <v>46</v>
      </c>
      <c r="H90" s="11" t="s">
        <v>46</v>
      </c>
      <c r="I90" s="11" t="s">
        <v>46</v>
      </c>
      <c r="J90" s="11" t="s">
        <v>46</v>
      </c>
      <c r="K90" s="11" t="s">
        <v>44</v>
      </c>
      <c r="L90" s="11" t="s">
        <v>44</v>
      </c>
      <c r="M90" s="11" t="s">
        <v>44</v>
      </c>
      <c r="N90" s="11" t="s">
        <v>44</v>
      </c>
      <c r="O90" s="11" t="s">
        <v>46</v>
      </c>
      <c r="P90" s="11" t="s">
        <v>44</v>
      </c>
      <c r="Q90" s="11" t="s">
        <v>44</v>
      </c>
    </row>
    <row r="91" spans="1:17">
      <c r="A91" s="11" t="s">
        <v>45</v>
      </c>
      <c r="B91" s="11" t="s">
        <v>45</v>
      </c>
      <c r="C91" s="11" t="s">
        <v>43</v>
      </c>
      <c r="D91" s="11" t="s">
        <v>44</v>
      </c>
      <c r="E91" s="11" t="s">
        <v>46</v>
      </c>
      <c r="F91" s="11" t="s">
        <v>46</v>
      </c>
      <c r="G91" s="11" t="s">
        <v>44</v>
      </c>
      <c r="H91" s="11" t="s">
        <v>46</v>
      </c>
      <c r="I91" s="11" t="s">
        <v>43</v>
      </c>
      <c r="J91" s="11" t="s">
        <v>44</v>
      </c>
      <c r="K91" s="11" t="s">
        <v>43</v>
      </c>
      <c r="L91" s="11" t="s">
        <v>44</v>
      </c>
      <c r="M91" s="11" t="s">
        <v>44</v>
      </c>
      <c r="N91" s="11" t="s">
        <v>44</v>
      </c>
      <c r="O91" s="11" t="s">
        <v>43</v>
      </c>
      <c r="P91" s="11" t="s">
        <v>44</v>
      </c>
      <c r="Q91" s="11" t="s">
        <v>46</v>
      </c>
    </row>
    <row r="92" spans="1:17">
      <c r="A92" s="11" t="s">
        <v>43</v>
      </c>
      <c r="B92" s="11" t="s">
        <v>46</v>
      </c>
      <c r="C92" s="11" t="s">
        <v>43</v>
      </c>
      <c r="D92" s="11" t="s">
        <v>46</v>
      </c>
      <c r="E92" s="11" t="s">
        <v>44</v>
      </c>
      <c r="F92" s="11" t="s">
        <v>43</v>
      </c>
      <c r="G92" s="11" t="s">
        <v>46</v>
      </c>
      <c r="H92" s="11" t="s">
        <v>44</v>
      </c>
      <c r="I92" s="11" t="s">
        <v>46</v>
      </c>
      <c r="J92" s="11" t="s">
        <v>46</v>
      </c>
      <c r="K92" s="11" t="s">
        <v>44</v>
      </c>
      <c r="L92" s="11" t="s">
        <v>46</v>
      </c>
      <c r="M92" s="11" t="s">
        <v>44</v>
      </c>
      <c r="N92" s="11" t="s">
        <v>46</v>
      </c>
      <c r="O92" s="11" t="s">
        <v>46</v>
      </c>
      <c r="P92" s="11" t="s">
        <v>46</v>
      </c>
      <c r="Q92" s="11" t="s">
        <v>43</v>
      </c>
    </row>
    <row r="93" spans="1:17">
      <c r="A93" s="11" t="s">
        <v>46</v>
      </c>
      <c r="B93" s="11" t="s">
        <v>45</v>
      </c>
      <c r="C93" s="11" t="s">
        <v>43</v>
      </c>
      <c r="D93" s="11" t="s">
        <v>46</v>
      </c>
      <c r="E93" s="11" t="s">
        <v>46</v>
      </c>
      <c r="F93" s="11" t="s">
        <v>44</v>
      </c>
      <c r="G93" s="11" t="s">
        <v>44</v>
      </c>
      <c r="H93" s="11" t="s">
        <v>43</v>
      </c>
      <c r="I93" s="11" t="s">
        <v>44</v>
      </c>
      <c r="J93" s="11" t="s">
        <v>46</v>
      </c>
      <c r="K93" s="11" t="s">
        <v>44</v>
      </c>
      <c r="L93" s="11" t="s">
        <v>46</v>
      </c>
      <c r="M93" s="11" t="s">
        <v>46</v>
      </c>
      <c r="N93" s="11" t="s">
        <v>43</v>
      </c>
      <c r="O93" s="11" t="s">
        <v>43</v>
      </c>
      <c r="P93" s="11" t="s">
        <v>44</v>
      </c>
      <c r="Q93" s="11" t="s">
        <v>46</v>
      </c>
    </row>
    <row r="94" spans="1:17">
      <c r="A94" s="11" t="s">
        <v>43</v>
      </c>
      <c r="B94" s="11" t="s">
        <v>46</v>
      </c>
      <c r="C94" s="11" t="s">
        <v>43</v>
      </c>
      <c r="D94" s="11" t="s">
        <v>46</v>
      </c>
      <c r="E94" s="11" t="s">
        <v>46</v>
      </c>
      <c r="F94" s="11" t="s">
        <v>46</v>
      </c>
      <c r="G94" s="11" t="s">
        <v>44</v>
      </c>
      <c r="H94" s="11" t="s">
        <v>44</v>
      </c>
      <c r="I94" s="11" t="s">
        <v>44</v>
      </c>
      <c r="J94" s="11" t="s">
        <v>44</v>
      </c>
      <c r="K94" s="11" t="s">
        <v>44</v>
      </c>
      <c r="L94" s="11" t="s">
        <v>43</v>
      </c>
      <c r="M94" s="11" t="s">
        <v>46</v>
      </c>
      <c r="N94" s="11" t="s">
        <v>44</v>
      </c>
      <c r="O94" s="11" t="s">
        <v>44</v>
      </c>
      <c r="P94" s="11" t="s">
        <v>43</v>
      </c>
      <c r="Q94" s="11" t="s">
        <v>46</v>
      </c>
    </row>
    <row r="95" spans="1:17">
      <c r="A95" s="11" t="s">
        <v>46</v>
      </c>
      <c r="B95" s="11" t="s">
        <v>45</v>
      </c>
      <c r="C95" s="11" t="s">
        <v>43</v>
      </c>
      <c r="D95" s="11" t="s">
        <v>44</v>
      </c>
      <c r="E95" s="11" t="s">
        <v>44</v>
      </c>
      <c r="F95" s="11" t="s">
        <v>44</v>
      </c>
      <c r="G95" s="11" t="s">
        <v>44</v>
      </c>
      <c r="H95" s="11" t="s">
        <v>43</v>
      </c>
      <c r="I95" s="11" t="s">
        <v>46</v>
      </c>
      <c r="J95" s="11" t="s">
        <v>46</v>
      </c>
      <c r="K95" s="11" t="s">
        <v>46</v>
      </c>
      <c r="L95" s="11" t="s">
        <v>43</v>
      </c>
      <c r="M95" s="11" t="s">
        <v>46</v>
      </c>
      <c r="N95" s="11" t="s">
        <v>46</v>
      </c>
      <c r="O95" s="11" t="s">
        <v>46</v>
      </c>
      <c r="P95" s="11" t="s">
        <v>46</v>
      </c>
      <c r="Q95" s="11" t="s">
        <v>44</v>
      </c>
    </row>
    <row r="96" spans="1:17">
      <c r="A96" s="11" t="s">
        <v>46</v>
      </c>
      <c r="B96" s="11" t="s">
        <v>44</v>
      </c>
      <c r="C96" s="11" t="s">
        <v>43</v>
      </c>
      <c r="D96" s="11" t="s">
        <v>44</v>
      </c>
      <c r="E96" s="11" t="s">
        <v>44</v>
      </c>
      <c r="F96" s="11" t="s">
        <v>44</v>
      </c>
      <c r="G96" s="11" t="s">
        <v>46</v>
      </c>
      <c r="H96" s="11" t="s">
        <v>46</v>
      </c>
      <c r="I96" s="11" t="s">
        <v>46</v>
      </c>
      <c r="J96" s="11" t="s">
        <v>44</v>
      </c>
      <c r="K96" s="11" t="s">
        <v>46</v>
      </c>
      <c r="L96" s="11" t="s">
        <v>44</v>
      </c>
      <c r="M96" s="11" t="s">
        <v>43</v>
      </c>
      <c r="N96" s="11" t="s">
        <v>44</v>
      </c>
      <c r="O96" s="11" t="s">
        <v>44</v>
      </c>
      <c r="P96" s="11" t="s">
        <v>43</v>
      </c>
      <c r="Q96" s="11" t="s">
        <v>46</v>
      </c>
    </row>
    <row r="97" spans="1:17">
      <c r="A97" s="11" t="s">
        <v>43</v>
      </c>
      <c r="B97" s="11" t="s">
        <v>45</v>
      </c>
      <c r="C97" s="11" t="s">
        <v>43</v>
      </c>
      <c r="D97" s="11" t="s">
        <v>44</v>
      </c>
      <c r="E97" s="11" t="s">
        <v>44</v>
      </c>
      <c r="F97" s="11" t="s">
        <v>44</v>
      </c>
      <c r="G97" s="11" t="s">
        <v>43</v>
      </c>
      <c r="H97" s="11" t="s">
        <v>46</v>
      </c>
      <c r="I97" s="11" t="s">
        <v>44</v>
      </c>
      <c r="J97" s="11" t="s">
        <v>46</v>
      </c>
      <c r="K97" s="11" t="s">
        <v>46</v>
      </c>
      <c r="L97" s="11" t="s">
        <v>44</v>
      </c>
      <c r="M97" s="11" t="s">
        <v>44</v>
      </c>
      <c r="N97" s="11" t="s">
        <v>46</v>
      </c>
      <c r="O97" s="11" t="s">
        <v>44</v>
      </c>
      <c r="P97" s="11" t="s">
        <v>44</v>
      </c>
      <c r="Q97" s="11" t="s">
        <v>44</v>
      </c>
    </row>
    <row r="98" spans="1:17">
      <c r="A98" s="11" t="s">
        <v>46</v>
      </c>
      <c r="B98" s="11" t="s">
        <v>47</v>
      </c>
      <c r="C98" s="11" t="s">
        <v>43</v>
      </c>
      <c r="D98" s="11" t="s">
        <v>46</v>
      </c>
      <c r="E98" s="11" t="s">
        <v>47</v>
      </c>
      <c r="F98" s="11" t="s">
        <v>45</v>
      </c>
      <c r="G98" s="11" t="s">
        <v>47</v>
      </c>
      <c r="H98" s="11" t="s">
        <v>46</v>
      </c>
      <c r="I98" s="11" t="s">
        <v>45</v>
      </c>
      <c r="J98" s="11" t="s">
        <v>47</v>
      </c>
      <c r="K98" s="11" t="s">
        <v>46</v>
      </c>
      <c r="L98" s="11" t="s">
        <v>46</v>
      </c>
      <c r="M98" s="11" t="s">
        <v>45</v>
      </c>
      <c r="N98" s="11" t="s">
        <v>46</v>
      </c>
      <c r="O98" s="11" t="s">
        <v>45</v>
      </c>
      <c r="P98" s="11" t="s">
        <v>45</v>
      </c>
      <c r="Q98" s="11" t="s">
        <v>47</v>
      </c>
    </row>
    <row r="99" spans="1:17">
      <c r="A99" s="11" t="s">
        <v>44</v>
      </c>
      <c r="B99" s="11" t="s">
        <v>46</v>
      </c>
      <c r="C99" s="11" t="s">
        <v>43</v>
      </c>
      <c r="D99" s="11" t="s">
        <v>44</v>
      </c>
      <c r="E99" s="11" t="s">
        <v>46</v>
      </c>
      <c r="F99" s="11" t="s">
        <v>44</v>
      </c>
      <c r="G99" s="11" t="s">
        <v>44</v>
      </c>
      <c r="H99" s="11" t="s">
        <v>44</v>
      </c>
      <c r="I99" s="11" t="s">
        <v>44</v>
      </c>
      <c r="J99" s="11" t="s">
        <v>46</v>
      </c>
      <c r="K99" s="11" t="s">
        <v>44</v>
      </c>
      <c r="L99" s="11" t="s">
        <v>44</v>
      </c>
      <c r="M99" s="11" t="s">
        <v>44</v>
      </c>
      <c r="N99" s="11" t="s">
        <v>43</v>
      </c>
      <c r="O99" s="11" t="s">
        <v>46</v>
      </c>
      <c r="P99" s="11" t="s">
        <v>43</v>
      </c>
      <c r="Q99" s="11" t="s">
        <v>46</v>
      </c>
    </row>
    <row r="100" spans="1:17">
      <c r="A100" s="11" t="s">
        <v>45</v>
      </c>
      <c r="B100" s="11" t="s">
        <v>46</v>
      </c>
      <c r="C100" s="11" t="s">
        <v>43</v>
      </c>
      <c r="D100" s="11" t="s">
        <v>44</v>
      </c>
      <c r="E100" s="11" t="s">
        <v>44</v>
      </c>
      <c r="F100" s="11" t="s">
        <v>44</v>
      </c>
      <c r="G100" s="11" t="s">
        <v>44</v>
      </c>
      <c r="H100" s="11" t="s">
        <v>44</v>
      </c>
      <c r="I100" s="11" t="s">
        <v>46</v>
      </c>
      <c r="J100" s="11" t="s">
        <v>44</v>
      </c>
      <c r="K100" s="11" t="s">
        <v>46</v>
      </c>
      <c r="L100" s="11" t="s">
        <v>46</v>
      </c>
      <c r="M100" s="11" t="s">
        <v>43</v>
      </c>
      <c r="N100" s="11" t="s">
        <v>43</v>
      </c>
      <c r="O100" s="11" t="s">
        <v>43</v>
      </c>
      <c r="P100" s="11" t="s">
        <v>46</v>
      </c>
      <c r="Q100" s="11" t="s">
        <v>46</v>
      </c>
    </row>
    <row r="101" spans="1:17">
      <c r="A101" s="11" t="s">
        <v>46</v>
      </c>
      <c r="B101" s="11" t="s">
        <v>46</v>
      </c>
      <c r="C101" s="11" t="s">
        <v>43</v>
      </c>
      <c r="D101" s="11" t="s">
        <v>46</v>
      </c>
      <c r="E101" s="11" t="s">
        <v>44</v>
      </c>
      <c r="F101" s="11" t="s">
        <v>44</v>
      </c>
      <c r="G101" s="11" t="s">
        <v>44</v>
      </c>
      <c r="H101" s="11" t="s">
        <v>46</v>
      </c>
      <c r="I101" s="11" t="s">
        <v>46</v>
      </c>
      <c r="J101" s="11" t="s">
        <v>44</v>
      </c>
      <c r="K101" s="11" t="s">
        <v>43</v>
      </c>
      <c r="L101" s="11" t="s">
        <v>46</v>
      </c>
      <c r="M101" s="11" t="s">
        <v>46</v>
      </c>
      <c r="N101" s="11" t="s">
        <v>44</v>
      </c>
      <c r="O101" s="11" t="s">
        <v>46</v>
      </c>
      <c r="P101" s="11" t="s">
        <v>44</v>
      </c>
      <c r="Q101" s="11" t="s">
        <v>46</v>
      </c>
    </row>
    <row r="102" spans="1:17">
      <c r="A102" s="11" t="s">
        <v>44</v>
      </c>
      <c r="B102" s="11" t="s">
        <v>46</v>
      </c>
      <c r="C102" s="11" t="s">
        <v>43</v>
      </c>
      <c r="D102" s="11" t="s">
        <v>46</v>
      </c>
      <c r="E102" s="11" t="s">
        <v>44</v>
      </c>
      <c r="F102" s="11" t="s">
        <v>44</v>
      </c>
      <c r="G102" s="11" t="s">
        <v>46</v>
      </c>
      <c r="H102" s="11" t="s">
        <v>44</v>
      </c>
      <c r="I102" s="11" t="s">
        <v>46</v>
      </c>
      <c r="J102" s="11" t="s">
        <v>44</v>
      </c>
      <c r="K102" s="11" t="s">
        <v>46</v>
      </c>
      <c r="L102" s="11" t="s">
        <v>46</v>
      </c>
      <c r="M102" s="11" t="s">
        <v>46</v>
      </c>
      <c r="N102" s="11" t="s">
        <v>44</v>
      </c>
      <c r="O102" s="11" t="s">
        <v>44</v>
      </c>
      <c r="P102" s="11" t="s">
        <v>43</v>
      </c>
      <c r="Q102" s="11" t="s">
        <v>46</v>
      </c>
    </row>
    <row r="103" spans="1:17">
      <c r="A103" s="11" t="s">
        <v>45</v>
      </c>
      <c r="B103" s="11" t="s">
        <v>43</v>
      </c>
      <c r="C103" s="11" t="s">
        <v>43</v>
      </c>
      <c r="D103" s="11" t="s">
        <v>44</v>
      </c>
      <c r="E103" s="11" t="s">
        <v>46</v>
      </c>
      <c r="F103" s="11" t="s">
        <v>43</v>
      </c>
      <c r="G103" s="11" t="s">
        <v>43</v>
      </c>
      <c r="H103" s="11" t="s">
        <v>43</v>
      </c>
      <c r="I103" s="11" t="s">
        <v>44</v>
      </c>
      <c r="J103" s="11" t="s">
        <v>46</v>
      </c>
      <c r="K103" s="11" t="s">
        <v>43</v>
      </c>
      <c r="L103" s="11" t="s">
        <v>46</v>
      </c>
      <c r="M103" s="11" t="s">
        <v>46</v>
      </c>
      <c r="N103" s="11" t="s">
        <v>44</v>
      </c>
      <c r="O103" s="11" t="s">
        <v>44</v>
      </c>
      <c r="P103" s="11" t="s">
        <v>44</v>
      </c>
      <c r="Q103" s="11" t="s">
        <v>44</v>
      </c>
    </row>
    <row r="104" spans="1:17">
      <c r="A104" s="11" t="s">
        <v>43</v>
      </c>
      <c r="B104" s="11" t="s">
        <v>46</v>
      </c>
      <c r="C104" s="11" t="s">
        <v>43</v>
      </c>
      <c r="D104" s="11" t="s">
        <v>46</v>
      </c>
      <c r="E104" s="11" t="s">
        <v>46</v>
      </c>
      <c r="F104" s="11" t="s">
        <v>44</v>
      </c>
      <c r="G104" s="11" t="s">
        <v>44</v>
      </c>
      <c r="H104" s="11" t="s">
        <v>46</v>
      </c>
      <c r="I104" s="11" t="s">
        <v>44</v>
      </c>
      <c r="J104" s="11" t="s">
        <v>46</v>
      </c>
      <c r="K104" s="11" t="s">
        <v>46</v>
      </c>
      <c r="L104" s="11" t="s">
        <v>44</v>
      </c>
      <c r="M104" s="11" t="s">
        <v>46</v>
      </c>
      <c r="N104" s="11" t="s">
        <v>44</v>
      </c>
      <c r="O104" s="11" t="s">
        <v>44</v>
      </c>
      <c r="P104" s="11" t="s">
        <v>44</v>
      </c>
      <c r="Q104" s="11" t="s">
        <v>43</v>
      </c>
    </row>
    <row r="105" spans="1:17">
      <c r="A105" s="11" t="s">
        <v>46</v>
      </c>
      <c r="B105" s="11" t="s">
        <v>46</v>
      </c>
      <c r="C105" s="11" t="s">
        <v>43</v>
      </c>
      <c r="D105" s="11" t="s">
        <v>44</v>
      </c>
      <c r="E105" s="11" t="s">
        <v>43</v>
      </c>
      <c r="F105" s="11" t="s">
        <v>46</v>
      </c>
      <c r="G105" s="11" t="s">
        <v>46</v>
      </c>
      <c r="H105" s="11" t="s">
        <v>44</v>
      </c>
      <c r="I105" s="11" t="s">
        <v>44</v>
      </c>
      <c r="J105" s="11" t="s">
        <v>43</v>
      </c>
      <c r="K105" s="11" t="s">
        <v>44</v>
      </c>
      <c r="L105" s="11" t="s">
        <v>46</v>
      </c>
      <c r="M105" s="11" t="s">
        <v>44</v>
      </c>
      <c r="N105" s="11" t="s">
        <v>44</v>
      </c>
      <c r="O105" s="11" t="s">
        <v>46</v>
      </c>
      <c r="P105" s="11" t="s">
        <v>43</v>
      </c>
      <c r="Q105" s="11" t="s">
        <v>44</v>
      </c>
    </row>
    <row r="106" spans="1:17">
      <c r="A106" s="11" t="s">
        <v>46</v>
      </c>
      <c r="B106" s="11" t="s">
        <v>46</v>
      </c>
      <c r="C106" s="11" t="s">
        <v>43</v>
      </c>
      <c r="D106" s="11" t="s">
        <v>44</v>
      </c>
      <c r="E106" s="11" t="s">
        <v>44</v>
      </c>
      <c r="F106" s="11" t="s">
        <v>43</v>
      </c>
      <c r="G106" s="11" t="s">
        <v>44</v>
      </c>
      <c r="H106" s="11" t="s">
        <v>43</v>
      </c>
      <c r="I106" s="11" t="s">
        <v>44</v>
      </c>
      <c r="J106" s="11" t="s">
        <v>44</v>
      </c>
      <c r="K106" s="11" t="s">
        <v>46</v>
      </c>
      <c r="L106" s="11" t="s">
        <v>46</v>
      </c>
      <c r="M106" s="11" t="s">
        <v>46</v>
      </c>
      <c r="N106" s="11" t="s">
        <v>44</v>
      </c>
      <c r="O106" s="11" t="s">
        <v>46</v>
      </c>
      <c r="P106" s="11" t="s">
        <v>46</v>
      </c>
      <c r="Q106" s="11" t="s">
        <v>44</v>
      </c>
    </row>
    <row r="107" spans="1:17">
      <c r="A107" s="11" t="s">
        <v>43</v>
      </c>
      <c r="B107" s="11" t="s">
        <v>46</v>
      </c>
      <c r="C107" s="11" t="s">
        <v>43</v>
      </c>
      <c r="D107" s="11" t="s">
        <v>44</v>
      </c>
      <c r="E107" s="11" t="s">
        <v>46</v>
      </c>
      <c r="F107" s="11" t="s">
        <v>46</v>
      </c>
      <c r="G107" s="11" t="s">
        <v>44</v>
      </c>
      <c r="H107" s="11" t="s">
        <v>44</v>
      </c>
      <c r="I107" s="11" t="s">
        <v>44</v>
      </c>
      <c r="J107" s="11" t="s">
        <v>46</v>
      </c>
      <c r="K107" s="11" t="s">
        <v>44</v>
      </c>
      <c r="L107" s="11" t="s">
        <v>46</v>
      </c>
      <c r="M107" s="11" t="s">
        <v>44</v>
      </c>
      <c r="N107" s="11" t="s">
        <v>46</v>
      </c>
      <c r="O107" s="11" t="s">
        <v>44</v>
      </c>
      <c r="P107" s="11" t="s">
        <v>44</v>
      </c>
      <c r="Q107" s="11" t="s">
        <v>44</v>
      </c>
    </row>
    <row r="108" spans="1:17">
      <c r="A108" s="11" t="s">
        <v>46</v>
      </c>
      <c r="B108" s="11" t="s">
        <v>45</v>
      </c>
      <c r="C108" s="11" t="s">
        <v>43</v>
      </c>
      <c r="D108" s="11" t="s">
        <v>44</v>
      </c>
      <c r="E108" s="11" t="s">
        <v>46</v>
      </c>
      <c r="F108" s="11" t="s">
        <v>46</v>
      </c>
      <c r="G108" s="11" t="s">
        <v>44</v>
      </c>
      <c r="H108" s="11" t="s">
        <v>46</v>
      </c>
      <c r="I108" s="11" t="s">
        <v>43</v>
      </c>
      <c r="J108" s="11" t="s">
        <v>46</v>
      </c>
      <c r="K108" s="11" t="s">
        <v>43</v>
      </c>
      <c r="L108" s="11" t="s">
        <v>46</v>
      </c>
      <c r="M108" s="11" t="s">
        <v>46</v>
      </c>
      <c r="N108" s="11" t="s">
        <v>46</v>
      </c>
      <c r="O108" s="11" t="s">
        <v>46</v>
      </c>
      <c r="P108" s="11" t="s">
        <v>44</v>
      </c>
      <c r="Q108" s="11" t="s">
        <v>44</v>
      </c>
    </row>
    <row r="109" spans="1:17">
      <c r="A109" s="11" t="s">
        <v>45</v>
      </c>
      <c r="B109" s="11" t="s">
        <v>44</v>
      </c>
      <c r="C109" s="11" t="s">
        <v>43</v>
      </c>
      <c r="D109" s="11" t="s">
        <v>46</v>
      </c>
      <c r="E109" s="11" t="s">
        <v>46</v>
      </c>
      <c r="F109" s="11" t="s">
        <v>46</v>
      </c>
      <c r="G109" s="11" t="s">
        <v>46</v>
      </c>
      <c r="H109" s="11" t="s">
        <v>44</v>
      </c>
      <c r="I109" s="11" t="s">
        <v>44</v>
      </c>
      <c r="J109" s="11" t="s">
        <v>46</v>
      </c>
      <c r="K109" s="11" t="s">
        <v>46</v>
      </c>
      <c r="L109" s="11" t="s">
        <v>46</v>
      </c>
      <c r="M109" s="11" t="s">
        <v>46</v>
      </c>
      <c r="N109" s="11" t="s">
        <v>46</v>
      </c>
      <c r="O109" s="11" t="s">
        <v>43</v>
      </c>
      <c r="P109" s="11" t="s">
        <v>44</v>
      </c>
      <c r="Q109" s="11" t="s">
        <v>46</v>
      </c>
    </row>
    <row r="110" spans="1:17">
      <c r="A110" s="11" t="s">
        <v>44</v>
      </c>
      <c r="B110" s="11" t="s">
        <v>43</v>
      </c>
      <c r="C110" s="11" t="s">
        <v>43</v>
      </c>
      <c r="D110" s="11" t="s">
        <v>44</v>
      </c>
      <c r="E110" s="11" t="s">
        <v>46</v>
      </c>
      <c r="F110" s="11" t="s">
        <v>44</v>
      </c>
      <c r="G110" s="11" t="s">
        <v>46</v>
      </c>
      <c r="H110" s="11" t="s">
        <v>44</v>
      </c>
      <c r="I110" s="11" t="s">
        <v>46</v>
      </c>
      <c r="J110" s="11" t="s">
        <v>44</v>
      </c>
      <c r="K110" s="11" t="s">
        <v>46</v>
      </c>
      <c r="L110" s="11" t="s">
        <v>44</v>
      </c>
      <c r="M110" s="11" t="s">
        <v>46</v>
      </c>
      <c r="N110" s="11" t="s">
        <v>44</v>
      </c>
      <c r="O110" s="11" t="s">
        <v>43</v>
      </c>
      <c r="P110" s="11" t="s">
        <v>46</v>
      </c>
      <c r="Q110" s="11" t="s">
        <v>46</v>
      </c>
    </row>
    <row r="111" spans="1:17">
      <c r="A111" s="11" t="s">
        <v>45</v>
      </c>
      <c r="B111" s="11" t="s">
        <v>46</v>
      </c>
      <c r="C111" s="11" t="s">
        <v>43</v>
      </c>
      <c r="D111" s="11" t="s">
        <v>44</v>
      </c>
      <c r="E111" s="11" t="s">
        <v>44</v>
      </c>
      <c r="F111" s="11" t="s">
        <v>46</v>
      </c>
      <c r="G111" s="11" t="s">
        <v>43</v>
      </c>
      <c r="H111" s="11" t="s">
        <v>44</v>
      </c>
      <c r="I111" s="11" t="s">
        <v>43</v>
      </c>
      <c r="J111" s="11" t="s">
        <v>46</v>
      </c>
      <c r="K111" s="11" t="s">
        <v>43</v>
      </c>
      <c r="L111" s="11" t="s">
        <v>44</v>
      </c>
      <c r="M111" s="11" t="s">
        <v>44</v>
      </c>
      <c r="N111" s="11" t="s">
        <v>46</v>
      </c>
      <c r="O111" s="11" t="s">
        <v>44</v>
      </c>
      <c r="P111" s="11" t="s">
        <v>46</v>
      </c>
      <c r="Q111" s="11" t="s">
        <v>46</v>
      </c>
    </row>
    <row r="112" spans="1:17">
      <c r="A112" s="11" t="s">
        <v>46</v>
      </c>
      <c r="B112" s="11" t="s">
        <v>44</v>
      </c>
      <c r="C112" s="11" t="s">
        <v>43</v>
      </c>
      <c r="D112" s="11" t="s">
        <v>44</v>
      </c>
      <c r="E112" s="11" t="s">
        <v>44</v>
      </c>
      <c r="F112" s="11" t="s">
        <v>44</v>
      </c>
      <c r="G112" s="11" t="s">
        <v>44</v>
      </c>
      <c r="H112" s="11" t="s">
        <v>43</v>
      </c>
      <c r="I112" s="11" t="s">
        <v>44</v>
      </c>
      <c r="J112" s="11" t="s">
        <v>44</v>
      </c>
      <c r="K112" s="11" t="s">
        <v>44</v>
      </c>
      <c r="L112" s="11" t="s">
        <v>46</v>
      </c>
      <c r="M112" s="11" t="s">
        <v>44</v>
      </c>
      <c r="N112" s="11" t="s">
        <v>46</v>
      </c>
      <c r="O112" s="11" t="s">
        <v>46</v>
      </c>
      <c r="P112" s="11" t="s">
        <v>44</v>
      </c>
      <c r="Q112" s="11" t="s">
        <v>46</v>
      </c>
    </row>
    <row r="113" spans="1:17">
      <c r="A113" s="11" t="s">
        <v>46</v>
      </c>
      <c r="B113" s="11" t="s">
        <v>43</v>
      </c>
      <c r="C113" s="11" t="s">
        <v>43</v>
      </c>
      <c r="D113" s="11" t="s">
        <v>44</v>
      </c>
      <c r="E113" s="11" t="s">
        <v>46</v>
      </c>
      <c r="F113" s="11" t="s">
        <v>44</v>
      </c>
      <c r="G113" s="11" t="s">
        <v>44</v>
      </c>
      <c r="H113" s="11" t="s">
        <v>46</v>
      </c>
      <c r="I113" s="11" t="s">
        <v>46</v>
      </c>
      <c r="J113" s="11" t="s">
        <v>46</v>
      </c>
      <c r="K113" s="11" t="s">
        <v>44</v>
      </c>
      <c r="L113" s="11" t="s">
        <v>43</v>
      </c>
      <c r="M113" s="11" t="s">
        <v>46</v>
      </c>
      <c r="N113" s="11" t="s">
        <v>43</v>
      </c>
      <c r="O113" s="11" t="s">
        <v>46</v>
      </c>
      <c r="P113" s="11" t="s">
        <v>46</v>
      </c>
      <c r="Q113" s="11" t="s">
        <v>44</v>
      </c>
    </row>
    <row r="114" spans="1:17">
      <c r="A114" s="11" t="s">
        <v>45</v>
      </c>
      <c r="B114" s="11" t="s">
        <v>45</v>
      </c>
      <c r="C114" s="11" t="s">
        <v>43</v>
      </c>
      <c r="D114" s="11" t="s">
        <v>43</v>
      </c>
      <c r="E114" s="11" t="s">
        <v>46</v>
      </c>
      <c r="F114" s="11" t="s">
        <v>46</v>
      </c>
      <c r="G114" s="11" t="s">
        <v>44</v>
      </c>
      <c r="H114" s="11" t="s">
        <v>46</v>
      </c>
      <c r="I114" s="11" t="s">
        <v>43</v>
      </c>
      <c r="J114" s="11" t="s">
        <v>44</v>
      </c>
      <c r="K114" s="11" t="s">
        <v>43</v>
      </c>
      <c r="L114" s="11" t="s">
        <v>46</v>
      </c>
      <c r="M114" s="11" t="s">
        <v>44</v>
      </c>
      <c r="N114" s="11" t="s">
        <v>44</v>
      </c>
      <c r="O114" s="11" t="s">
        <v>46</v>
      </c>
      <c r="P114" s="11" t="s">
        <v>46</v>
      </c>
      <c r="Q114" s="11" t="s">
        <v>46</v>
      </c>
    </row>
    <row r="115" spans="1:17">
      <c r="A115" s="11" t="s">
        <v>43</v>
      </c>
      <c r="B115" s="11" t="s">
        <v>45</v>
      </c>
      <c r="C115" s="11" t="s">
        <v>43</v>
      </c>
      <c r="D115" s="11" t="s">
        <v>46</v>
      </c>
      <c r="E115" s="11" t="s">
        <v>44</v>
      </c>
      <c r="F115" s="11" t="s">
        <v>44</v>
      </c>
      <c r="G115" s="11" t="s">
        <v>44</v>
      </c>
      <c r="H115" s="11" t="s">
        <v>46</v>
      </c>
      <c r="I115" s="11" t="s">
        <v>44</v>
      </c>
      <c r="J115" s="11" t="s">
        <v>44</v>
      </c>
      <c r="K115" s="11" t="s">
        <v>44</v>
      </c>
      <c r="L115" s="11" t="s">
        <v>46</v>
      </c>
      <c r="M115" s="11" t="s">
        <v>44</v>
      </c>
      <c r="N115" s="11" t="s">
        <v>44</v>
      </c>
      <c r="O115" s="11" t="s">
        <v>46</v>
      </c>
      <c r="P115" s="11" t="s">
        <v>46</v>
      </c>
      <c r="Q115" s="11" t="s">
        <v>44</v>
      </c>
    </row>
    <row r="116" spans="1:17">
      <c r="A116" s="11" t="s">
        <v>45</v>
      </c>
      <c r="B116" s="11" t="s">
        <v>44</v>
      </c>
      <c r="C116" s="11" t="s">
        <v>43</v>
      </c>
      <c r="D116" s="11" t="s">
        <v>46</v>
      </c>
      <c r="E116" s="11" t="s">
        <v>44</v>
      </c>
      <c r="F116" s="11" t="s">
        <v>46</v>
      </c>
      <c r="G116" s="11" t="s">
        <v>46</v>
      </c>
      <c r="H116" s="11" t="s">
        <v>44</v>
      </c>
      <c r="I116" s="11" t="s">
        <v>44</v>
      </c>
      <c r="J116" s="11" t="s">
        <v>46</v>
      </c>
      <c r="K116" s="11" t="s">
        <v>46</v>
      </c>
      <c r="L116" s="11" t="s">
        <v>43</v>
      </c>
      <c r="M116" s="11" t="s">
        <v>46</v>
      </c>
      <c r="N116" s="11" t="s">
        <v>44</v>
      </c>
      <c r="O116" s="11" t="s">
        <v>44</v>
      </c>
      <c r="P116" s="11" t="s">
        <v>46</v>
      </c>
      <c r="Q116" s="11" t="s">
        <v>46</v>
      </c>
    </row>
    <row r="117" spans="1:17">
      <c r="A117" s="11" t="s">
        <v>45</v>
      </c>
      <c r="B117" s="11" t="s">
        <v>46</v>
      </c>
      <c r="C117" s="11" t="s">
        <v>43</v>
      </c>
      <c r="D117" s="11" t="s">
        <v>44</v>
      </c>
      <c r="E117" s="11" t="s">
        <v>46</v>
      </c>
      <c r="F117" s="11" t="s">
        <v>46</v>
      </c>
      <c r="G117" s="11" t="s">
        <v>44</v>
      </c>
      <c r="H117" s="11" t="s">
        <v>44</v>
      </c>
      <c r="I117" s="11" t="s">
        <v>44</v>
      </c>
      <c r="J117" s="11" t="s">
        <v>44</v>
      </c>
      <c r="K117" s="11" t="s">
        <v>46</v>
      </c>
      <c r="L117" s="11" t="s">
        <v>44</v>
      </c>
      <c r="M117" s="11" t="s">
        <v>44</v>
      </c>
      <c r="N117" s="11" t="s">
        <v>46</v>
      </c>
      <c r="O117" s="11" t="s">
        <v>46</v>
      </c>
      <c r="P117" s="11" t="s">
        <v>46</v>
      </c>
      <c r="Q117" s="11" t="s">
        <v>44</v>
      </c>
    </row>
    <row r="118" spans="1:17">
      <c r="A118" s="11" t="s">
        <v>45</v>
      </c>
      <c r="B118" s="11" t="s">
        <v>45</v>
      </c>
      <c r="C118" s="11" t="s">
        <v>43</v>
      </c>
      <c r="D118" s="11" t="s">
        <v>46</v>
      </c>
      <c r="E118" s="11" t="s">
        <v>46</v>
      </c>
      <c r="F118" s="11" t="s">
        <v>44</v>
      </c>
      <c r="G118" s="11" t="s">
        <v>43</v>
      </c>
      <c r="H118" s="11" t="s">
        <v>46</v>
      </c>
      <c r="I118" s="11" t="s">
        <v>44</v>
      </c>
      <c r="J118" s="11" t="s">
        <v>44</v>
      </c>
      <c r="K118" s="11" t="s">
        <v>46</v>
      </c>
      <c r="L118" s="11" t="s">
        <v>46</v>
      </c>
      <c r="M118" s="11" t="s">
        <v>46</v>
      </c>
      <c r="N118" s="11" t="s">
        <v>43</v>
      </c>
      <c r="O118" s="11" t="s">
        <v>46</v>
      </c>
      <c r="P118" s="11" t="s">
        <v>43</v>
      </c>
      <c r="Q118" s="11" t="s">
        <v>43</v>
      </c>
    </row>
    <row r="119" spans="1:17">
      <c r="A119" s="11" t="s">
        <v>45</v>
      </c>
      <c r="B119" s="11" t="s">
        <v>45</v>
      </c>
      <c r="C119" s="11" t="s">
        <v>43</v>
      </c>
      <c r="D119" s="11" t="s">
        <v>43</v>
      </c>
      <c r="E119" s="11" t="s">
        <v>43</v>
      </c>
      <c r="F119" s="11" t="s">
        <v>46</v>
      </c>
      <c r="G119" s="11" t="s">
        <v>43</v>
      </c>
      <c r="H119" s="11" t="s">
        <v>43</v>
      </c>
      <c r="I119" s="11" t="s">
        <v>46</v>
      </c>
      <c r="J119" s="11" t="s">
        <v>46</v>
      </c>
      <c r="K119" s="11" t="s">
        <v>43</v>
      </c>
      <c r="L119" s="11" t="s">
        <v>46</v>
      </c>
      <c r="M119" s="11" t="s">
        <v>44</v>
      </c>
      <c r="N119" s="11" t="s">
        <v>46</v>
      </c>
      <c r="O119" s="11" t="s">
        <v>44</v>
      </c>
      <c r="P119" s="11" t="s">
        <v>46</v>
      </c>
      <c r="Q119" s="11" t="s">
        <v>46</v>
      </c>
    </row>
  </sheetData>
  <pageMargins left="0.75" right="0.75" top="1" bottom="1" header="0.5" footer="0.5"/>
  <pageSetup orientation="portrait" paperSize="1"/>
  <headerFooter/>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9"/>
  <sheetViews>
    <sheetView zoomScale="85" zoomScaleNormal="85" workbookViewId="0">
      <selection activeCell="P2" sqref="A2:P2"/>
    </sheetView>
  </sheetViews>
  <sheetFormatPr defaultColWidth="9" defaultRowHeight="12.5"/>
  <cols>
    <col customWidth="true" max="1" min="1" width="52.4"/>
    <col customWidth="true" max="2" min="2" width="16.3636363636364"/>
    <col customWidth="true" max="3" min="3" width="15.8636363636364"/>
    <col customWidth="true" max="4" min="4" width="46.5727272727273"/>
    <col customWidth="true" max="5" min="5" width="40.8545454545455"/>
    <col customWidth="true" max="6" min="6" width="95.5727272727273"/>
    <col customWidth="true" max="7" min="7" width="81.4545454545455"/>
    <col customWidth="true" max="8" min="8" width="48"/>
    <col customWidth="true" max="9" min="9" width="46.2818181818182"/>
    <col customWidth="true" max="10" min="10" width="72.7181818181818"/>
    <col customWidth="true" max="11" min="11" width="58"/>
    <col customWidth="true" max="12" min="12" width="53.7181818181818"/>
    <col customWidth="true" max="13" min="13" width="48.5727272727273"/>
    <col customWidth="true" max="14" min="14" width="17.1454545454545"/>
    <col customWidth="true" max="15" min="15" width="39.5"/>
    <col customWidth="true" max="16" min="16" width="77.5181818181818"/>
    <col customWidth="true" max="18" min="17" width="149.909090909091"/>
  </cols>
  <sheetData>
    <row r="1" spans="1:18">
      <c r="R1" s="12" t="s">
        <v>65</v>
      </c>
    </row>
    <row r="2" spans="1:18" ht="14">
      <c r="A2" t="s">
        <v>66</v>
      </c>
      <c r="B2" t="s">
        <v>67</v>
      </c>
      <c r="C2" t="s">
        <v>68</v>
      </c>
      <c r="D2" t="s">
        <v>69</v>
      </c>
      <c r="E2" t="s">
        <v>70</v>
      </c>
      <c r="F2" t="s">
        <v>71</v>
      </c>
      <c r="G2" t="s">
        <v>72</v>
      </c>
      <c r="H2" t="s">
        <v>73</v>
      </c>
      <c r="I2" t="s">
        <v>74</v>
      </c>
      <c r="J2" t="s">
        <v>75</v>
      </c>
      <c r="K2" t="s">
        <v>76</v>
      </c>
      <c r="L2" t="s">
        <v>77</v>
      </c>
      <c r="M2" t="s">
        <v>78</v>
      </c>
      <c r="N2" t="s">
        <v>79</v>
      </c>
      <c r="O2" s="1" t="s">
        <v>80</v>
      </c>
      <c r="P2" s="4" t="s">
        <v>81</v>
      </c>
      <c r="Q2" s="13"/>
    </row>
    <row r="3" spans="1:18" ht="14">
      <c r="A3" s="1" t="s">
        <v>46</v>
      </c>
      <c r="B3" t="s">
        <v>44</v>
      </c>
      <c r="C3" t="s">
        <v>44</v>
      </c>
      <c r="D3" t="s">
        <v>44</v>
      </c>
      <c r="E3" t="s">
        <v>44</v>
      </c>
      <c r="F3" t="s">
        <v>44</v>
      </c>
      <c r="G3" t="s">
        <v>46</v>
      </c>
      <c r="H3" t="s">
        <v>43</v>
      </c>
      <c r="I3" t="s">
        <v>43</v>
      </c>
      <c r="J3" t="s">
        <v>44</v>
      </c>
      <c r="K3" t="s">
        <v>43</v>
      </c>
      <c r="L3" t="s">
        <v>44</v>
      </c>
      <c r="M3" t="s">
        <v>43</v>
      </c>
      <c r="N3" t="s">
        <v>43</v>
      </c>
      <c r="O3" s="14" t="s">
        <v>44</v>
      </c>
      <c r="P3" s="15" t="s">
        <v>43</v>
      </c>
    </row>
    <row r="4" spans="1:18" ht="13">
      <c r="A4" s="1" t="s">
        <v>45</v>
      </c>
      <c r="B4" t="s">
        <v>45</v>
      </c>
      <c r="C4" t="s">
        <v>44</v>
      </c>
      <c r="D4" t="s">
        <v>45</v>
      </c>
      <c r="E4" t="s">
        <v>43</v>
      </c>
      <c r="F4" t="s">
        <v>44</v>
      </c>
      <c r="G4" t="s">
        <v>43</v>
      </c>
      <c r="H4" t="s">
        <v>46</v>
      </c>
      <c r="I4" t="s">
        <v>44</v>
      </c>
      <c r="J4" t="s">
        <v>46</v>
      </c>
      <c r="K4" t="s">
        <v>46</v>
      </c>
      <c r="L4" t="s">
        <v>44</v>
      </c>
      <c r="M4" t="s">
        <v>46</v>
      </c>
      <c r="N4" t="s">
        <v>44</v>
      </c>
      <c r="O4" s="12" t="s">
        <v>44</v>
      </c>
      <c r="P4" s="12" t="s">
        <v>44</v>
      </c>
    </row>
    <row r="5" spans="1:18">
      <c r="A5" t="s">
        <v>46</v>
      </c>
      <c r="B5" t="s">
        <v>46</v>
      </c>
      <c r="C5" t="s">
        <v>46</v>
      </c>
      <c r="D5" t="s">
        <v>46</v>
      </c>
      <c r="E5" t="s">
        <v>46</v>
      </c>
      <c r="F5" t="s">
        <v>46</v>
      </c>
      <c r="G5" t="s">
        <v>46</v>
      </c>
      <c r="H5" t="s">
        <v>46</v>
      </c>
      <c r="I5" t="s">
        <v>46</v>
      </c>
      <c r="J5" t="s">
        <v>46</v>
      </c>
      <c r="K5" t="s">
        <v>46</v>
      </c>
      <c r="L5" t="s">
        <v>46</v>
      </c>
      <c r="M5" t="s">
        <v>46</v>
      </c>
      <c r="N5" t="s">
        <v>46</v>
      </c>
      <c r="O5" s="12" t="s">
        <v>43</v>
      </c>
      <c r="P5" s="12" t="s">
        <v>46</v>
      </c>
    </row>
    <row r="6" spans="1:18">
      <c r="A6" t="s">
        <v>45</v>
      </c>
      <c r="B6" t="s">
        <v>43</v>
      </c>
      <c r="C6" t="s">
        <v>44</v>
      </c>
      <c r="D6" t="s">
        <v>43</v>
      </c>
      <c r="E6" t="s">
        <v>43</v>
      </c>
      <c r="F6" t="s">
        <v>43</v>
      </c>
      <c r="G6" t="s">
        <v>43</v>
      </c>
      <c r="H6" t="s">
        <v>43</v>
      </c>
      <c r="I6" t="s">
        <v>45</v>
      </c>
      <c r="J6" t="s">
        <v>47</v>
      </c>
      <c r="K6" t="s">
        <v>46</v>
      </c>
      <c r="L6" t="s">
        <v>43</v>
      </c>
      <c r="M6" t="s">
        <v>43</v>
      </c>
      <c r="N6" t="s">
        <v>43</v>
      </c>
      <c r="O6" s="12" t="s">
        <v>46</v>
      </c>
      <c r="P6" s="12" t="s">
        <v>43</v>
      </c>
    </row>
    <row r="7" spans="1:18">
      <c r="A7" t="s">
        <v>47</v>
      </c>
      <c r="B7" t="s">
        <v>46</v>
      </c>
      <c r="C7" t="s">
        <v>44</v>
      </c>
      <c r="D7" t="s">
        <v>44</v>
      </c>
      <c r="E7" t="s">
        <v>44</v>
      </c>
      <c r="F7" t="s">
        <v>46</v>
      </c>
      <c r="G7" t="s">
        <v>44</v>
      </c>
      <c r="H7" t="s">
        <v>44</v>
      </c>
      <c r="I7" t="s">
        <v>45</v>
      </c>
      <c r="J7" t="s">
        <v>44</v>
      </c>
      <c r="K7" t="s">
        <v>45</v>
      </c>
      <c r="L7" t="s">
        <v>44</v>
      </c>
      <c r="M7" t="s">
        <v>46</v>
      </c>
      <c r="N7" t="s">
        <v>46</v>
      </c>
      <c r="O7" s="12" t="s">
        <v>44</v>
      </c>
      <c r="P7" s="12" t="s">
        <v>46</v>
      </c>
    </row>
    <row r="8" spans="1:18">
      <c r="A8" t="s">
        <v>44</v>
      </c>
      <c r="B8" t="s">
        <v>44</v>
      </c>
      <c r="C8" t="s">
        <v>44</v>
      </c>
      <c r="D8" t="s">
        <v>44</v>
      </c>
      <c r="E8" t="s">
        <v>44</v>
      </c>
      <c r="F8" t="s">
        <v>44</v>
      </c>
      <c r="G8" t="s">
        <v>44</v>
      </c>
      <c r="H8" t="s">
        <v>44</v>
      </c>
      <c r="I8" t="s">
        <v>44</v>
      </c>
      <c r="J8" t="s">
        <v>44</v>
      </c>
      <c r="K8" t="s">
        <v>44</v>
      </c>
      <c r="L8" t="s">
        <v>44</v>
      </c>
      <c r="M8" t="s">
        <v>44</v>
      </c>
      <c r="N8" t="s">
        <v>44</v>
      </c>
      <c r="O8" s="12" t="s">
        <v>44</v>
      </c>
      <c r="P8" s="12" t="s">
        <v>44</v>
      </c>
    </row>
    <row r="9" spans="1:18">
      <c r="A9" t="s">
        <v>47</v>
      </c>
      <c r="B9" t="s">
        <v>47</v>
      </c>
      <c r="C9" t="s">
        <v>47</v>
      </c>
      <c r="D9" t="s">
        <v>47</v>
      </c>
      <c r="E9" t="s">
        <v>47</v>
      </c>
      <c r="F9" t="s">
        <v>47</v>
      </c>
      <c r="G9" t="s">
        <v>47</v>
      </c>
      <c r="H9" t="s">
        <v>47</v>
      </c>
      <c r="I9" t="s">
        <v>47</v>
      </c>
      <c r="J9" t="s">
        <v>47</v>
      </c>
      <c r="K9" t="s">
        <v>47</v>
      </c>
      <c r="L9" t="s">
        <v>47</v>
      </c>
      <c r="M9" t="s">
        <v>43</v>
      </c>
      <c r="N9" t="s">
        <v>43</v>
      </c>
      <c r="O9" s="12" t="s">
        <v>43</v>
      </c>
      <c r="P9" s="12" t="s">
        <v>43</v>
      </c>
    </row>
    <row r="10" spans="1:18">
      <c r="A10" t="s">
        <v>47</v>
      </c>
      <c r="B10" t="s">
        <v>47</v>
      </c>
      <c r="C10" t="s">
        <v>47</v>
      </c>
      <c r="D10" t="s">
        <v>47</v>
      </c>
      <c r="E10" t="s">
        <v>47</v>
      </c>
      <c r="F10" t="s">
        <v>47</v>
      </c>
      <c r="G10" t="s">
        <v>47</v>
      </c>
      <c r="H10" t="s">
        <v>47</v>
      </c>
      <c r="I10" t="s">
        <v>47</v>
      </c>
      <c r="J10" t="s">
        <v>47</v>
      </c>
      <c r="K10" t="s">
        <v>47</v>
      </c>
      <c r="L10" t="s">
        <v>47</v>
      </c>
      <c r="M10" t="s">
        <v>43</v>
      </c>
      <c r="N10" t="s">
        <v>43</v>
      </c>
      <c r="O10" s="12" t="s">
        <v>44</v>
      </c>
      <c r="P10" s="12" t="s">
        <v>43</v>
      </c>
    </row>
    <row r="11" spans="1:18">
      <c r="A11" t="s">
        <v>46</v>
      </c>
      <c r="B11" t="s">
        <v>44</v>
      </c>
      <c r="C11" t="s">
        <v>46</v>
      </c>
      <c r="D11" t="s">
        <v>43</v>
      </c>
      <c r="E11" t="s">
        <v>46</v>
      </c>
      <c r="F11" t="s">
        <v>46</v>
      </c>
      <c r="G11" t="s">
        <v>44</v>
      </c>
      <c r="H11" t="s">
        <v>44</v>
      </c>
      <c r="I11" t="s">
        <v>44</v>
      </c>
      <c r="J11" t="s">
        <v>47</v>
      </c>
      <c r="K11" t="s">
        <v>47</v>
      </c>
      <c r="L11" t="s">
        <v>43</v>
      </c>
      <c r="M11" t="s">
        <v>43</v>
      </c>
      <c r="N11" t="s">
        <v>43</v>
      </c>
      <c r="O11" s="12" t="s">
        <v>46</v>
      </c>
      <c r="P11" s="12" t="s">
        <v>43</v>
      </c>
    </row>
    <row r="12" spans="1:18">
      <c r="A12" t="s">
        <v>44</v>
      </c>
      <c r="B12" t="s">
        <v>46</v>
      </c>
      <c r="C12" t="s">
        <v>43</v>
      </c>
      <c r="D12" t="s">
        <v>43</v>
      </c>
      <c r="E12" t="s">
        <v>43</v>
      </c>
      <c r="F12" t="s">
        <v>43</v>
      </c>
      <c r="G12" t="s">
        <v>43</v>
      </c>
      <c r="H12" t="s">
        <v>43</v>
      </c>
      <c r="I12" t="s">
        <v>43</v>
      </c>
      <c r="J12" t="s">
        <v>43</v>
      </c>
      <c r="K12" t="s">
        <v>43</v>
      </c>
      <c r="L12" t="s">
        <v>43</v>
      </c>
      <c r="M12" t="s">
        <v>43</v>
      </c>
      <c r="N12" t="s">
        <v>43</v>
      </c>
      <c r="O12" s="12" t="s">
        <v>44</v>
      </c>
      <c r="P12" s="12" t="s">
        <v>43</v>
      </c>
    </row>
    <row r="13" spans="1:18">
      <c r="A13" t="s">
        <v>46</v>
      </c>
      <c r="B13" t="s">
        <v>45</v>
      </c>
      <c r="C13" t="s">
        <v>45</v>
      </c>
      <c r="D13" t="s">
        <v>46</v>
      </c>
      <c r="E13" t="s">
        <v>46</v>
      </c>
      <c r="F13" t="s">
        <v>46</v>
      </c>
      <c r="G13" t="s">
        <v>46</v>
      </c>
      <c r="H13" t="s">
        <v>46</v>
      </c>
      <c r="I13" t="s">
        <v>46</v>
      </c>
      <c r="J13" t="s">
        <v>46</v>
      </c>
      <c r="K13" t="s">
        <v>46</v>
      </c>
      <c r="L13" t="s">
        <v>44</v>
      </c>
      <c r="M13" t="s">
        <v>44</v>
      </c>
      <c r="N13" t="s">
        <v>46</v>
      </c>
      <c r="O13" s="12" t="s">
        <v>44</v>
      </c>
      <c r="P13" s="12" t="s">
        <v>46</v>
      </c>
    </row>
    <row r="14" spans="1:18">
      <c r="A14" t="s">
        <v>43</v>
      </c>
      <c r="B14" t="s">
        <v>44</v>
      </c>
      <c r="C14" t="s">
        <v>44</v>
      </c>
      <c r="D14" t="s">
        <v>46</v>
      </c>
      <c r="E14" t="s">
        <v>45</v>
      </c>
      <c r="F14" t="s">
        <v>46</v>
      </c>
      <c r="G14" t="s">
        <v>44</v>
      </c>
      <c r="H14" t="s">
        <v>46</v>
      </c>
      <c r="I14" t="s">
        <v>44</v>
      </c>
      <c r="J14" t="s">
        <v>47</v>
      </c>
      <c r="K14" t="s">
        <v>44</v>
      </c>
      <c r="L14" t="s">
        <v>43</v>
      </c>
      <c r="M14" t="s">
        <v>46</v>
      </c>
      <c r="N14" t="s">
        <v>44</v>
      </c>
      <c r="O14" s="12" t="s">
        <v>43</v>
      </c>
      <c r="P14" s="12" t="s">
        <v>44</v>
      </c>
    </row>
    <row r="15" spans="1:18">
      <c r="A15" t="s">
        <v>44</v>
      </c>
      <c r="B15" t="s">
        <v>43</v>
      </c>
      <c r="C15" t="s">
        <v>43</v>
      </c>
      <c r="D15" t="s">
        <v>43</v>
      </c>
      <c r="E15" t="s">
        <v>44</v>
      </c>
      <c r="F15" t="s">
        <v>47</v>
      </c>
      <c r="G15" t="s">
        <v>44</v>
      </c>
      <c r="H15" t="s">
        <v>47</v>
      </c>
      <c r="I15" t="s">
        <v>44</v>
      </c>
      <c r="J15" t="s">
        <v>47</v>
      </c>
      <c r="K15" t="s">
        <v>43</v>
      </c>
      <c r="L15" t="s">
        <v>43</v>
      </c>
      <c r="M15" t="s">
        <v>44</v>
      </c>
      <c r="N15" t="s">
        <v>44</v>
      </c>
      <c r="O15" s="12" t="s">
        <v>44</v>
      </c>
      <c r="P15" s="12" t="s">
        <v>44</v>
      </c>
    </row>
    <row r="16" spans="1:18">
      <c r="A16" t="s">
        <v>43</v>
      </c>
      <c r="B16" t="s">
        <v>44</v>
      </c>
      <c r="C16" t="s">
        <v>44</v>
      </c>
      <c r="D16" t="s">
        <v>44</v>
      </c>
      <c r="E16" t="s">
        <v>44</v>
      </c>
      <c r="F16" t="s">
        <v>44</v>
      </c>
      <c r="G16" t="s">
        <v>44</v>
      </c>
      <c r="H16" t="s">
        <v>44</v>
      </c>
      <c r="I16" t="s">
        <v>44</v>
      </c>
      <c r="J16" t="s">
        <v>44</v>
      </c>
      <c r="K16" t="s">
        <v>44</v>
      </c>
      <c r="L16" t="s">
        <v>44</v>
      </c>
      <c r="M16" t="s">
        <v>44</v>
      </c>
      <c r="N16" t="s">
        <v>44</v>
      </c>
      <c r="O16" s="12" t="s">
        <v>44</v>
      </c>
      <c r="P16" s="12" t="s">
        <v>44</v>
      </c>
    </row>
    <row r="17" spans="1:16">
      <c r="A17" t="s">
        <v>46</v>
      </c>
      <c r="B17" t="s">
        <v>44</v>
      </c>
      <c r="C17" t="s">
        <v>44</v>
      </c>
      <c r="D17" t="s">
        <v>46</v>
      </c>
      <c r="E17" t="s">
        <v>44</v>
      </c>
      <c r="F17" t="s">
        <v>44</v>
      </c>
      <c r="G17" t="s">
        <v>46</v>
      </c>
      <c r="H17" t="s">
        <v>46</v>
      </c>
      <c r="I17" t="s">
        <v>46</v>
      </c>
      <c r="J17" t="s">
        <v>44</v>
      </c>
      <c r="K17" t="s">
        <v>46</v>
      </c>
      <c r="L17" t="s">
        <v>44</v>
      </c>
      <c r="M17" t="s">
        <v>44</v>
      </c>
      <c r="N17" t="s">
        <v>44</v>
      </c>
      <c r="O17" s="12" t="s">
        <v>46</v>
      </c>
      <c r="P17" s="12" t="s">
        <v>44</v>
      </c>
    </row>
    <row r="18" spans="1:16">
      <c r="A18" t="s">
        <v>44</v>
      </c>
      <c r="B18" t="s">
        <v>43</v>
      </c>
      <c r="C18" t="s">
        <v>46</v>
      </c>
      <c r="D18" t="s">
        <v>43</v>
      </c>
      <c r="E18" t="s">
        <v>43</v>
      </c>
      <c r="F18" t="s">
        <v>46</v>
      </c>
      <c r="G18" t="s">
        <v>44</v>
      </c>
      <c r="H18" t="s">
        <v>45</v>
      </c>
      <c r="I18" t="s">
        <v>46</v>
      </c>
      <c r="J18" t="s">
        <v>44</v>
      </c>
      <c r="K18" t="s">
        <v>44</v>
      </c>
      <c r="L18" t="s">
        <v>43</v>
      </c>
      <c r="M18" t="s">
        <v>43</v>
      </c>
      <c r="N18" t="s">
        <v>43</v>
      </c>
      <c r="O18" s="12" t="s">
        <v>43</v>
      </c>
      <c r="P18" s="12" t="s">
        <v>43</v>
      </c>
    </row>
    <row r="19" spans="1:16">
      <c r="A19" t="s">
        <v>44</v>
      </c>
      <c r="B19" t="s">
        <v>46</v>
      </c>
      <c r="C19" t="s">
        <v>44</v>
      </c>
      <c r="D19" t="s">
        <v>44</v>
      </c>
      <c r="E19" t="s">
        <v>45</v>
      </c>
      <c r="F19" t="s">
        <v>44</v>
      </c>
      <c r="G19" t="s">
        <v>43</v>
      </c>
      <c r="H19" t="s">
        <v>44</v>
      </c>
      <c r="I19" t="s">
        <v>44</v>
      </c>
      <c r="J19" t="s">
        <v>45</v>
      </c>
      <c r="K19" t="s">
        <v>45</v>
      </c>
      <c r="L19" t="s">
        <v>46</v>
      </c>
      <c r="M19" t="s">
        <v>44</v>
      </c>
      <c r="N19" t="s">
        <v>44</v>
      </c>
      <c r="O19" s="12" t="s">
        <v>44</v>
      </c>
      <c r="P19" s="12" t="s">
        <v>44</v>
      </c>
    </row>
    <row r="20" spans="1:16">
      <c r="A20" t="s">
        <v>46</v>
      </c>
      <c r="B20" t="s">
        <v>44</v>
      </c>
      <c r="C20" t="s">
        <v>45</v>
      </c>
      <c r="D20" t="s">
        <v>45</v>
      </c>
      <c r="E20" t="s">
        <v>45</v>
      </c>
      <c r="F20" t="s">
        <v>44</v>
      </c>
      <c r="G20" t="s">
        <v>44</v>
      </c>
      <c r="H20" t="s">
        <v>44</v>
      </c>
      <c r="I20" t="s">
        <v>46</v>
      </c>
      <c r="J20" t="s">
        <v>47</v>
      </c>
      <c r="K20" t="s">
        <v>45</v>
      </c>
      <c r="L20" t="s">
        <v>45</v>
      </c>
      <c r="M20" t="s">
        <v>46</v>
      </c>
      <c r="N20" t="s">
        <v>46</v>
      </c>
      <c r="O20" s="12" t="s">
        <v>44</v>
      </c>
      <c r="P20" s="12" t="s">
        <v>46</v>
      </c>
    </row>
    <row r="21" spans="1:16">
      <c r="A21" t="s">
        <v>44</v>
      </c>
      <c r="B21" t="s">
        <v>46</v>
      </c>
      <c r="C21" t="s">
        <v>44</v>
      </c>
      <c r="D21" t="s">
        <v>43</v>
      </c>
      <c r="E21" t="s">
        <v>44</v>
      </c>
      <c r="F21" t="s">
        <v>46</v>
      </c>
      <c r="G21" t="s">
        <v>44</v>
      </c>
      <c r="H21" t="s">
        <v>46</v>
      </c>
      <c r="I21" t="s">
        <v>44</v>
      </c>
      <c r="J21" t="s">
        <v>45</v>
      </c>
      <c r="K21" t="s">
        <v>45</v>
      </c>
      <c r="L21" t="s">
        <v>44</v>
      </c>
      <c r="M21" t="s">
        <v>46</v>
      </c>
      <c r="N21" t="s">
        <v>46</v>
      </c>
      <c r="O21" s="12" t="s">
        <v>46</v>
      </c>
      <c r="P21" s="12" t="s">
        <v>46</v>
      </c>
    </row>
    <row r="22" spans="1:16">
      <c r="A22" t="s">
        <v>46</v>
      </c>
      <c r="B22" t="s">
        <v>46</v>
      </c>
      <c r="C22" t="s">
        <v>46</v>
      </c>
      <c r="D22" t="s">
        <v>46</v>
      </c>
      <c r="E22" t="s">
        <v>46</v>
      </c>
      <c r="F22" t="s">
        <v>46</v>
      </c>
      <c r="G22" t="s">
        <v>46</v>
      </c>
      <c r="H22" t="s">
        <v>46</v>
      </c>
      <c r="I22" t="s">
        <v>46</v>
      </c>
      <c r="J22" t="s">
        <v>46</v>
      </c>
      <c r="K22" t="s">
        <v>46</v>
      </c>
      <c r="L22" t="s">
        <v>46</v>
      </c>
      <c r="M22" t="s">
        <v>46</v>
      </c>
      <c r="N22" t="s">
        <v>46</v>
      </c>
      <c r="O22" s="12" t="s">
        <v>44</v>
      </c>
      <c r="P22" s="12" t="s">
        <v>46</v>
      </c>
    </row>
    <row r="23" spans="1:16">
      <c r="A23" t="s">
        <v>46</v>
      </c>
      <c r="B23" t="s">
        <v>46</v>
      </c>
      <c r="C23" t="s">
        <v>46</v>
      </c>
      <c r="D23" t="s">
        <v>46</v>
      </c>
      <c r="E23" t="s">
        <v>46</v>
      </c>
      <c r="F23" t="s">
        <v>46</v>
      </c>
      <c r="G23" t="s">
        <v>46</v>
      </c>
      <c r="H23" t="s">
        <v>46</v>
      </c>
      <c r="I23" t="s">
        <v>46</v>
      </c>
      <c r="J23" t="s">
        <v>46</v>
      </c>
      <c r="K23" t="s">
        <v>46</v>
      </c>
      <c r="L23" t="s">
        <v>46</v>
      </c>
      <c r="M23" t="s">
        <v>46</v>
      </c>
      <c r="N23" t="s">
        <v>46</v>
      </c>
      <c r="O23" s="12" t="s">
        <v>43</v>
      </c>
      <c r="P23" s="12" t="s">
        <v>46</v>
      </c>
    </row>
    <row r="24" spans="1:16">
      <c r="A24" t="s">
        <v>43</v>
      </c>
      <c r="B24" t="s">
        <v>43</v>
      </c>
      <c r="C24" t="s">
        <v>43</v>
      </c>
      <c r="D24" t="s">
        <v>43</v>
      </c>
      <c r="E24" t="s">
        <v>43</v>
      </c>
      <c r="F24" t="s">
        <v>43</v>
      </c>
      <c r="G24" t="s">
        <v>43</v>
      </c>
      <c r="H24" t="s">
        <v>43</v>
      </c>
      <c r="I24" t="s">
        <v>43</v>
      </c>
      <c r="J24" t="s">
        <v>43</v>
      </c>
      <c r="K24" t="s">
        <v>43</v>
      </c>
      <c r="L24" t="s">
        <v>43</v>
      </c>
      <c r="M24" t="s">
        <v>43</v>
      </c>
      <c r="N24" t="s">
        <v>43</v>
      </c>
      <c r="O24" s="12" t="s">
        <v>44</v>
      </c>
      <c r="P24" s="12" t="s">
        <v>43</v>
      </c>
    </row>
    <row r="25" spans="1:16">
      <c r="A25" t="s">
        <v>43</v>
      </c>
      <c r="B25" t="s">
        <v>44</v>
      </c>
      <c r="C25" t="s">
        <v>44</v>
      </c>
      <c r="D25" t="s">
        <v>44</v>
      </c>
      <c r="E25" t="s">
        <v>43</v>
      </c>
      <c r="F25" t="s">
        <v>44</v>
      </c>
      <c r="G25" t="s">
        <v>44</v>
      </c>
      <c r="H25" t="s">
        <v>43</v>
      </c>
      <c r="I25" t="s">
        <v>43</v>
      </c>
      <c r="J25" t="s">
        <v>45</v>
      </c>
      <c r="K25" t="s">
        <v>46</v>
      </c>
      <c r="L25" t="s">
        <v>44</v>
      </c>
      <c r="M25" t="s">
        <v>46</v>
      </c>
      <c r="N25" t="s">
        <v>46</v>
      </c>
      <c r="O25" s="12" t="s">
        <v>46</v>
      </c>
      <c r="P25" s="12" t="s">
        <v>46</v>
      </c>
    </row>
    <row r="26" spans="1:16">
      <c r="A26" t="s">
        <v>45</v>
      </c>
      <c r="B26" t="s">
        <v>45</v>
      </c>
      <c r="C26" t="s">
        <v>45</v>
      </c>
      <c r="D26" t="s">
        <v>45</v>
      </c>
      <c r="E26" t="s">
        <v>45</v>
      </c>
      <c r="F26" t="s">
        <v>45</v>
      </c>
      <c r="G26" t="s">
        <v>45</v>
      </c>
      <c r="H26" t="s">
        <v>45</v>
      </c>
      <c r="I26" t="s">
        <v>45</v>
      </c>
      <c r="J26" t="s">
        <v>45</v>
      </c>
      <c r="K26" t="s">
        <v>45</v>
      </c>
      <c r="L26" t="s">
        <v>45</v>
      </c>
      <c r="M26" t="s">
        <v>45</v>
      </c>
      <c r="N26" t="s">
        <v>45</v>
      </c>
      <c r="O26" s="12" t="s">
        <v>45</v>
      </c>
      <c r="P26" s="12" t="s">
        <v>44</v>
      </c>
    </row>
    <row r="27" spans="1:16">
      <c r="A27" t="s">
        <v>46</v>
      </c>
      <c r="B27" t="s">
        <v>44</v>
      </c>
      <c r="C27" t="s">
        <v>44</v>
      </c>
      <c r="D27" t="s">
        <v>44</v>
      </c>
      <c r="E27" t="s">
        <v>46</v>
      </c>
      <c r="F27" t="s">
        <v>46</v>
      </c>
      <c r="G27" t="s">
        <v>46</v>
      </c>
      <c r="H27" t="s">
        <v>44</v>
      </c>
      <c r="I27" t="s">
        <v>44</v>
      </c>
      <c r="J27" t="s">
        <v>46</v>
      </c>
      <c r="K27" t="s">
        <v>44</v>
      </c>
      <c r="L27" t="s">
        <v>44</v>
      </c>
      <c r="M27" t="s">
        <v>46</v>
      </c>
      <c r="N27" t="s">
        <v>44</v>
      </c>
      <c r="O27" s="12" t="s">
        <v>44</v>
      </c>
      <c r="P27" s="12" t="s">
        <v>44</v>
      </c>
    </row>
    <row r="28" spans="1:16">
      <c r="A28" t="s">
        <v>45</v>
      </c>
      <c r="B28" t="s">
        <v>44</v>
      </c>
      <c r="C28" t="s">
        <v>43</v>
      </c>
      <c r="D28" t="s">
        <v>43</v>
      </c>
      <c r="E28" t="s">
        <v>45</v>
      </c>
      <c r="F28" t="s">
        <v>45</v>
      </c>
      <c r="G28" t="s">
        <v>43</v>
      </c>
      <c r="H28" t="s">
        <v>45</v>
      </c>
      <c r="I28" t="s">
        <v>44</v>
      </c>
      <c r="J28" t="s">
        <v>45</v>
      </c>
      <c r="K28" t="s">
        <v>44</v>
      </c>
      <c r="L28" t="s">
        <v>44</v>
      </c>
      <c r="M28" t="s">
        <v>45</v>
      </c>
      <c r="N28" t="s">
        <v>44</v>
      </c>
      <c r="O28" s="12" t="s">
        <v>44</v>
      </c>
      <c r="P28" s="12" t="s">
        <v>44</v>
      </c>
    </row>
    <row r="29" spans="1:16">
      <c r="A29" t="s">
        <v>44</v>
      </c>
      <c r="B29" t="s">
        <v>44</v>
      </c>
      <c r="C29" t="s">
        <v>43</v>
      </c>
      <c r="D29" t="s">
        <v>43</v>
      </c>
      <c r="E29" t="s">
        <v>44</v>
      </c>
      <c r="F29" t="s">
        <v>44</v>
      </c>
      <c r="G29" t="s">
        <v>44</v>
      </c>
      <c r="H29" t="s">
        <v>44</v>
      </c>
      <c r="I29" t="s">
        <v>43</v>
      </c>
      <c r="J29" t="s">
        <v>44</v>
      </c>
      <c r="K29" t="s">
        <v>43</v>
      </c>
      <c r="L29" t="s">
        <v>43</v>
      </c>
      <c r="M29" t="s">
        <v>43</v>
      </c>
      <c r="N29" t="s">
        <v>43</v>
      </c>
      <c r="O29" s="12" t="s">
        <v>43</v>
      </c>
      <c r="P29" s="12" t="s">
        <v>43</v>
      </c>
    </row>
    <row r="30" spans="1:16">
      <c r="A30" t="s">
        <v>43</v>
      </c>
      <c r="B30" t="s">
        <v>43</v>
      </c>
      <c r="C30" t="s">
        <v>43</v>
      </c>
      <c r="D30" t="s">
        <v>43</v>
      </c>
      <c r="E30" t="s">
        <v>43</v>
      </c>
      <c r="F30" t="s">
        <v>43</v>
      </c>
      <c r="G30" t="s">
        <v>43</v>
      </c>
      <c r="H30" t="s">
        <v>43</v>
      </c>
      <c r="I30" t="s">
        <v>43</v>
      </c>
      <c r="J30" t="s">
        <v>43</v>
      </c>
      <c r="K30" t="s">
        <v>43</v>
      </c>
      <c r="L30" t="s">
        <v>43</v>
      </c>
      <c r="M30" t="s">
        <v>43</v>
      </c>
      <c r="N30" t="s">
        <v>43</v>
      </c>
      <c r="O30" s="12" t="s">
        <v>44</v>
      </c>
      <c r="P30" s="12" t="s">
        <v>43</v>
      </c>
    </row>
    <row r="31" spans="1:16">
      <c r="A31" t="s">
        <v>44</v>
      </c>
      <c r="B31" t="s">
        <v>46</v>
      </c>
      <c r="C31" t="s">
        <v>47</v>
      </c>
      <c r="D31" t="s">
        <v>43</v>
      </c>
      <c r="E31" t="s">
        <v>46</v>
      </c>
      <c r="F31" t="s">
        <v>45</v>
      </c>
      <c r="G31" t="s">
        <v>45</v>
      </c>
      <c r="H31" t="s">
        <v>45</v>
      </c>
      <c r="I31" t="s">
        <v>43</v>
      </c>
      <c r="J31" t="s">
        <v>47</v>
      </c>
      <c r="K31" t="s">
        <v>47</v>
      </c>
      <c r="L31" t="s">
        <v>45</v>
      </c>
      <c r="M31" t="s">
        <v>43</v>
      </c>
      <c r="N31" t="s">
        <v>45</v>
      </c>
      <c r="O31" s="12" t="s">
        <v>46</v>
      </c>
      <c r="P31" s="12" t="s">
        <v>44</v>
      </c>
    </row>
    <row r="32" spans="1:16">
      <c r="A32" t="s">
        <v>47</v>
      </c>
      <c r="B32" t="s">
        <v>45</v>
      </c>
      <c r="C32" t="s">
        <v>47</v>
      </c>
      <c r="D32" t="s">
        <v>43</v>
      </c>
      <c r="E32" t="s">
        <v>46</v>
      </c>
      <c r="F32" t="s">
        <v>47</v>
      </c>
      <c r="G32" t="s">
        <v>47</v>
      </c>
      <c r="H32" t="s">
        <v>46</v>
      </c>
      <c r="I32" t="s">
        <v>43</v>
      </c>
      <c r="J32" t="s">
        <v>46</v>
      </c>
      <c r="K32" t="s">
        <v>46</v>
      </c>
      <c r="L32" t="s">
        <v>46</v>
      </c>
      <c r="M32" t="s">
        <v>44</v>
      </c>
      <c r="N32" t="s">
        <v>46</v>
      </c>
      <c r="O32" s="12" t="s">
        <v>46</v>
      </c>
      <c r="P32" s="12" t="s">
        <v>46</v>
      </c>
    </row>
    <row r="33" spans="1:16">
      <c r="A33" t="s">
        <v>43</v>
      </c>
      <c r="B33" t="s">
        <v>43</v>
      </c>
      <c r="C33" t="s">
        <v>43</v>
      </c>
      <c r="D33" t="s">
        <v>43</v>
      </c>
      <c r="E33" t="s">
        <v>43</v>
      </c>
      <c r="F33" t="s">
        <v>43</v>
      </c>
      <c r="G33" t="s">
        <v>43</v>
      </c>
      <c r="H33" t="s">
        <v>43</v>
      </c>
      <c r="I33" t="s">
        <v>43</v>
      </c>
      <c r="J33" t="s">
        <v>43</v>
      </c>
      <c r="K33" t="s">
        <v>43</v>
      </c>
      <c r="L33" t="s">
        <v>43</v>
      </c>
      <c r="M33" t="s">
        <v>43</v>
      </c>
      <c r="N33" t="s">
        <v>43</v>
      </c>
      <c r="O33" s="12" t="s">
        <v>43</v>
      </c>
      <c r="P33" s="12" t="s">
        <v>43</v>
      </c>
    </row>
    <row r="34" spans="1:16">
      <c r="A34" t="s">
        <v>44</v>
      </c>
      <c r="B34" t="s">
        <v>46</v>
      </c>
      <c r="C34" t="s">
        <v>46</v>
      </c>
      <c r="D34" t="s">
        <v>45</v>
      </c>
      <c r="E34" t="s">
        <v>46</v>
      </c>
      <c r="F34" t="s">
        <v>46</v>
      </c>
      <c r="G34" t="s">
        <v>46</v>
      </c>
      <c r="H34" t="s">
        <v>44</v>
      </c>
      <c r="I34" t="s">
        <v>46</v>
      </c>
      <c r="J34" t="s">
        <v>46</v>
      </c>
      <c r="K34" t="s">
        <v>46</v>
      </c>
      <c r="L34" t="s">
        <v>46</v>
      </c>
      <c r="M34" t="s">
        <v>46</v>
      </c>
      <c r="N34" t="s">
        <v>46</v>
      </c>
      <c r="O34" s="12" t="s">
        <v>44</v>
      </c>
      <c r="P34" s="12" t="s">
        <v>46</v>
      </c>
    </row>
    <row r="35" spans="1:16">
      <c r="A35" t="s">
        <v>46</v>
      </c>
      <c r="B35" t="s">
        <v>45</v>
      </c>
      <c r="C35" t="s">
        <v>46</v>
      </c>
      <c r="D35" t="s">
        <v>45</v>
      </c>
      <c r="E35" t="s">
        <v>44</v>
      </c>
      <c r="F35" t="s">
        <v>46</v>
      </c>
      <c r="G35" t="s">
        <v>44</v>
      </c>
      <c r="H35" t="s">
        <v>44</v>
      </c>
      <c r="I35" t="s">
        <v>45</v>
      </c>
      <c r="J35" t="s">
        <v>44</v>
      </c>
      <c r="K35" t="s">
        <v>44</v>
      </c>
      <c r="L35" t="s">
        <v>44</v>
      </c>
      <c r="M35" t="s">
        <v>44</v>
      </c>
      <c r="N35" t="s">
        <v>44</v>
      </c>
      <c r="O35" s="12" t="s">
        <v>44</v>
      </c>
      <c r="P35" s="12" t="s">
        <v>44</v>
      </c>
    </row>
    <row r="36" spans="1:16">
      <c r="A36" t="s">
        <v>46</v>
      </c>
      <c r="B36" t="s">
        <v>46</v>
      </c>
      <c r="C36" t="s">
        <v>46</v>
      </c>
      <c r="D36" t="s">
        <v>46</v>
      </c>
      <c r="E36" t="s">
        <v>46</v>
      </c>
      <c r="F36" t="s">
        <v>46</v>
      </c>
      <c r="G36" t="s">
        <v>46</v>
      </c>
      <c r="H36" t="s">
        <v>46</v>
      </c>
      <c r="I36" t="s">
        <v>46</v>
      </c>
      <c r="J36" t="s">
        <v>46</v>
      </c>
      <c r="K36" t="s">
        <v>46</v>
      </c>
      <c r="L36" t="s">
        <v>46</v>
      </c>
      <c r="M36" t="s">
        <v>46</v>
      </c>
      <c r="N36" t="s">
        <v>46</v>
      </c>
      <c r="O36" s="12" t="s">
        <v>46</v>
      </c>
      <c r="P36" s="12" t="s">
        <v>46</v>
      </c>
    </row>
    <row r="37" spans="1:16">
      <c r="A37" t="s">
        <v>43</v>
      </c>
      <c r="B37" t="s">
        <v>44</v>
      </c>
      <c r="C37" t="s">
        <v>46</v>
      </c>
      <c r="D37" t="s">
        <v>46</v>
      </c>
      <c r="E37" t="s">
        <v>46</v>
      </c>
      <c r="F37" t="s">
        <v>46</v>
      </c>
      <c r="G37" t="s">
        <v>46</v>
      </c>
      <c r="H37" t="s">
        <v>46</v>
      </c>
      <c r="I37" t="s">
        <v>46</v>
      </c>
      <c r="J37" t="s">
        <v>44</v>
      </c>
      <c r="K37" t="s">
        <v>44</v>
      </c>
      <c r="L37" t="s">
        <v>44</v>
      </c>
      <c r="M37" t="s">
        <v>44</v>
      </c>
      <c r="N37" t="s">
        <v>44</v>
      </c>
      <c r="O37" s="12" t="s">
        <v>44</v>
      </c>
      <c r="P37" s="12" t="s">
        <v>44</v>
      </c>
    </row>
    <row r="38" spans="1:16">
      <c r="A38" t="s">
        <v>46</v>
      </c>
      <c r="B38" t="s">
        <v>45</v>
      </c>
      <c r="C38" t="s">
        <v>44</v>
      </c>
      <c r="D38" t="s">
        <v>44</v>
      </c>
      <c r="E38" t="s">
        <v>46</v>
      </c>
      <c r="F38" t="s">
        <v>46</v>
      </c>
      <c r="G38" t="s">
        <v>46</v>
      </c>
      <c r="H38" t="s">
        <v>46</v>
      </c>
      <c r="I38" t="s">
        <v>46</v>
      </c>
      <c r="J38" t="s">
        <v>45</v>
      </c>
      <c r="K38" t="s">
        <v>45</v>
      </c>
      <c r="L38" t="s">
        <v>46</v>
      </c>
      <c r="M38" t="s">
        <v>46</v>
      </c>
      <c r="N38" t="s">
        <v>45</v>
      </c>
      <c r="O38" s="12" t="s">
        <v>46</v>
      </c>
      <c r="P38" s="12" t="s">
        <v>45</v>
      </c>
    </row>
    <row r="39" spans="1:16">
      <c r="A39" t="s">
        <v>44</v>
      </c>
      <c r="B39" t="s">
        <v>43</v>
      </c>
      <c r="C39" t="s">
        <v>43</v>
      </c>
      <c r="D39" t="s">
        <v>43</v>
      </c>
      <c r="E39" t="s">
        <v>46</v>
      </c>
      <c r="F39" t="s">
        <v>43</v>
      </c>
      <c r="G39" t="s">
        <v>43</v>
      </c>
      <c r="H39" t="s">
        <v>46</v>
      </c>
      <c r="I39" t="s">
        <v>43</v>
      </c>
      <c r="J39" t="s">
        <v>43</v>
      </c>
      <c r="K39" t="s">
        <v>46</v>
      </c>
      <c r="L39" t="s">
        <v>43</v>
      </c>
      <c r="M39" t="s">
        <v>43</v>
      </c>
      <c r="N39" t="s">
        <v>46</v>
      </c>
      <c r="O39" s="12" t="s">
        <v>44</v>
      </c>
      <c r="P39" s="12" t="s">
        <v>46</v>
      </c>
    </row>
    <row r="40" spans="1:16">
      <c r="A40" t="s">
        <v>44</v>
      </c>
      <c r="B40" t="s">
        <v>47</v>
      </c>
      <c r="C40" t="s">
        <v>46</v>
      </c>
      <c r="D40" t="s">
        <v>44</v>
      </c>
      <c r="E40" t="s">
        <v>46</v>
      </c>
      <c r="F40" t="s">
        <v>45</v>
      </c>
      <c r="G40" t="s">
        <v>44</v>
      </c>
      <c r="H40" t="s">
        <v>45</v>
      </c>
      <c r="I40" t="s">
        <v>44</v>
      </c>
      <c r="J40" t="s">
        <v>47</v>
      </c>
      <c r="K40" t="s">
        <v>46</v>
      </c>
      <c r="L40" t="s">
        <v>44</v>
      </c>
      <c r="M40" t="s">
        <v>46</v>
      </c>
      <c r="N40" t="s">
        <v>44</v>
      </c>
      <c r="O40" s="12" t="s">
        <v>44</v>
      </c>
      <c r="P40" s="12" t="s">
        <v>44</v>
      </c>
    </row>
    <row r="41" spans="1:16">
      <c r="A41" t="s">
        <v>46</v>
      </c>
      <c r="B41" t="s">
        <v>46</v>
      </c>
      <c r="C41" t="s">
        <v>46</v>
      </c>
      <c r="D41" t="s">
        <v>44</v>
      </c>
      <c r="E41" t="s">
        <v>44</v>
      </c>
      <c r="F41" t="s">
        <v>46</v>
      </c>
      <c r="G41" t="s">
        <v>46</v>
      </c>
      <c r="H41" t="s">
        <v>44</v>
      </c>
      <c r="I41" t="s">
        <v>46</v>
      </c>
      <c r="J41" t="s">
        <v>46</v>
      </c>
      <c r="K41" t="s">
        <v>44</v>
      </c>
      <c r="L41" t="s">
        <v>46</v>
      </c>
      <c r="M41" t="s">
        <v>44</v>
      </c>
      <c r="N41" t="s">
        <v>44</v>
      </c>
      <c r="O41" s="12" t="s">
        <v>43</v>
      </c>
      <c r="P41" s="12" t="s">
        <v>44</v>
      </c>
    </row>
    <row r="42" spans="1:16">
      <c r="A42" t="s">
        <v>43</v>
      </c>
      <c r="B42" t="s">
        <v>43</v>
      </c>
      <c r="C42" t="s">
        <v>43</v>
      </c>
      <c r="D42" t="s">
        <v>43</v>
      </c>
      <c r="E42" t="s">
        <v>43</v>
      </c>
      <c r="F42" t="s">
        <v>43</v>
      </c>
      <c r="G42" t="s">
        <v>43</v>
      </c>
      <c r="H42" t="s">
        <v>43</v>
      </c>
      <c r="I42" t="s">
        <v>43</v>
      </c>
      <c r="J42" t="s">
        <v>43</v>
      </c>
      <c r="K42" t="s">
        <v>43</v>
      </c>
      <c r="L42" t="s">
        <v>43</v>
      </c>
      <c r="M42" t="s">
        <v>43</v>
      </c>
      <c r="N42" t="s">
        <v>43</v>
      </c>
      <c r="O42" s="12" t="s">
        <v>43</v>
      </c>
      <c r="P42" s="12" t="s">
        <v>43</v>
      </c>
    </row>
    <row r="43" spans="1:16">
      <c r="A43" t="s">
        <v>46</v>
      </c>
      <c r="B43" t="s">
        <v>46</v>
      </c>
      <c r="C43" t="s">
        <v>46</v>
      </c>
      <c r="D43" t="s">
        <v>46</v>
      </c>
      <c r="E43" t="s">
        <v>46</v>
      </c>
      <c r="F43" t="s">
        <v>46</v>
      </c>
      <c r="G43" t="s">
        <v>46</v>
      </c>
      <c r="H43" t="s">
        <v>46</v>
      </c>
      <c r="I43" t="s">
        <v>46</v>
      </c>
      <c r="J43" t="s">
        <v>46</v>
      </c>
      <c r="K43" t="s">
        <v>46</v>
      </c>
      <c r="L43" t="s">
        <v>46</v>
      </c>
      <c r="M43" t="s">
        <v>46</v>
      </c>
      <c r="N43" t="s">
        <v>46</v>
      </c>
      <c r="O43" s="12" t="s">
        <v>46</v>
      </c>
      <c r="P43" s="12" t="s">
        <v>46</v>
      </c>
    </row>
    <row r="44" spans="1:16">
      <c r="A44" t="s">
        <v>44</v>
      </c>
      <c r="B44" t="s">
        <v>44</v>
      </c>
      <c r="C44" t="s">
        <v>43</v>
      </c>
      <c r="D44" t="s">
        <v>43</v>
      </c>
      <c r="E44" t="s">
        <v>44</v>
      </c>
      <c r="F44" t="s">
        <v>44</v>
      </c>
      <c r="G44" t="s">
        <v>44</v>
      </c>
      <c r="H44" t="s">
        <v>44</v>
      </c>
      <c r="I44" t="s">
        <v>44</v>
      </c>
      <c r="J44" t="s">
        <v>47</v>
      </c>
      <c r="K44" t="s">
        <v>44</v>
      </c>
      <c r="L44" t="s">
        <v>44</v>
      </c>
      <c r="M44" t="s">
        <v>46</v>
      </c>
      <c r="N44" t="s">
        <v>46</v>
      </c>
      <c r="O44" s="12" t="s">
        <v>44</v>
      </c>
      <c r="P44" s="12" t="s">
        <v>46</v>
      </c>
    </row>
    <row r="45" spans="1:16">
      <c r="A45" t="s">
        <v>44</v>
      </c>
      <c r="B45" t="s">
        <v>46</v>
      </c>
      <c r="C45" t="s">
        <v>44</v>
      </c>
      <c r="D45" t="s">
        <v>46</v>
      </c>
      <c r="E45" t="s">
        <v>44</v>
      </c>
      <c r="F45" t="s">
        <v>46</v>
      </c>
      <c r="G45" t="s">
        <v>44</v>
      </c>
      <c r="H45" t="s">
        <v>44</v>
      </c>
      <c r="I45" t="s">
        <v>44</v>
      </c>
      <c r="J45" t="s">
        <v>45</v>
      </c>
      <c r="K45" t="s">
        <v>44</v>
      </c>
      <c r="L45" t="s">
        <v>44</v>
      </c>
      <c r="M45" t="s">
        <v>44</v>
      </c>
      <c r="N45" t="s">
        <v>44</v>
      </c>
      <c r="O45" s="12" t="s">
        <v>44</v>
      </c>
      <c r="P45" s="12" t="s">
        <v>44</v>
      </c>
    </row>
    <row r="46" spans="1:16">
      <c r="A46" t="s">
        <v>47</v>
      </c>
      <c r="B46" t="s">
        <v>47</v>
      </c>
      <c r="C46" t="s">
        <v>47</v>
      </c>
      <c r="D46" t="s">
        <v>47</v>
      </c>
      <c r="E46" t="s">
        <v>47</v>
      </c>
      <c r="F46" t="s">
        <v>47</v>
      </c>
      <c r="G46" t="s">
        <v>47</v>
      </c>
      <c r="H46" t="s">
        <v>47</v>
      </c>
      <c r="I46" t="s">
        <v>47</v>
      </c>
      <c r="J46" t="s">
        <v>47</v>
      </c>
      <c r="K46" t="s">
        <v>47</v>
      </c>
      <c r="L46" t="s">
        <v>47</v>
      </c>
      <c r="M46" t="s">
        <v>47</v>
      </c>
      <c r="N46" t="s">
        <v>47</v>
      </c>
      <c r="O46" s="12" t="s">
        <v>46</v>
      </c>
      <c r="P46" s="12" t="s">
        <v>47</v>
      </c>
    </row>
    <row r="47" spans="1:16">
      <c r="A47" t="s">
        <v>46</v>
      </c>
      <c r="B47" t="s">
        <v>46</v>
      </c>
      <c r="C47" t="s">
        <v>46</v>
      </c>
      <c r="D47" t="s">
        <v>46</v>
      </c>
      <c r="E47" t="s">
        <v>46</v>
      </c>
      <c r="F47" t="s">
        <v>46</v>
      </c>
      <c r="G47" t="s">
        <v>46</v>
      </c>
      <c r="H47" t="s">
        <v>46</v>
      </c>
      <c r="I47" t="s">
        <v>46</v>
      </c>
      <c r="J47" t="s">
        <v>46</v>
      </c>
      <c r="K47" t="s">
        <v>46</v>
      </c>
      <c r="L47" t="s">
        <v>46</v>
      </c>
      <c r="M47" t="s">
        <v>46</v>
      </c>
      <c r="N47" t="s">
        <v>46</v>
      </c>
      <c r="O47" s="12" t="s">
        <v>46</v>
      </c>
      <c r="P47" s="12" t="s">
        <v>46</v>
      </c>
    </row>
    <row r="48" spans="1:16">
      <c r="A48" t="s">
        <v>43</v>
      </c>
      <c r="B48" t="s">
        <v>43</v>
      </c>
      <c r="C48" t="s">
        <v>43</v>
      </c>
      <c r="D48" t="s">
        <v>43</v>
      </c>
      <c r="E48" t="s">
        <v>43</v>
      </c>
      <c r="F48" t="s">
        <v>43</v>
      </c>
      <c r="G48" t="s">
        <v>43</v>
      </c>
      <c r="H48" t="s">
        <v>46</v>
      </c>
      <c r="I48" t="s">
        <v>43</v>
      </c>
      <c r="J48" t="s">
        <v>43</v>
      </c>
      <c r="K48" t="s">
        <v>43</v>
      </c>
      <c r="L48" t="s">
        <v>43</v>
      </c>
      <c r="M48" t="s">
        <v>43</v>
      </c>
      <c r="N48" t="s">
        <v>43</v>
      </c>
      <c r="O48" s="12" t="s">
        <v>43</v>
      </c>
      <c r="P48" s="12" t="s">
        <v>43</v>
      </c>
    </row>
    <row r="49" spans="1:16">
      <c r="A49" t="s">
        <v>45</v>
      </c>
      <c r="B49" t="s">
        <v>44</v>
      </c>
      <c r="C49" t="s">
        <v>44</v>
      </c>
      <c r="D49" t="s">
        <v>43</v>
      </c>
      <c r="E49" t="s">
        <v>45</v>
      </c>
      <c r="F49" t="s">
        <v>44</v>
      </c>
      <c r="G49" t="s">
        <v>43</v>
      </c>
      <c r="H49" t="s">
        <v>44</v>
      </c>
      <c r="I49" t="s">
        <v>44</v>
      </c>
      <c r="J49" t="s">
        <v>45</v>
      </c>
      <c r="K49" t="s">
        <v>45</v>
      </c>
      <c r="L49" t="s">
        <v>44</v>
      </c>
      <c r="M49" t="s">
        <v>43</v>
      </c>
      <c r="N49" t="s">
        <v>44</v>
      </c>
      <c r="O49" s="12" t="s">
        <v>44</v>
      </c>
      <c r="P49" s="12" t="s">
        <v>44</v>
      </c>
    </row>
    <row r="50" spans="1:16">
      <c r="A50" t="s">
        <v>45</v>
      </c>
      <c r="B50" t="s">
        <v>45</v>
      </c>
      <c r="C50" t="s">
        <v>47</v>
      </c>
      <c r="D50" t="s">
        <v>46</v>
      </c>
      <c r="E50" t="s">
        <v>47</v>
      </c>
      <c r="F50" t="s">
        <v>43</v>
      </c>
      <c r="G50" t="s">
        <v>43</v>
      </c>
      <c r="H50" t="s">
        <v>46</v>
      </c>
      <c r="I50" t="s">
        <v>44</v>
      </c>
      <c r="J50" t="s">
        <v>43</v>
      </c>
      <c r="K50" t="s">
        <v>43</v>
      </c>
      <c r="L50" t="s">
        <v>43</v>
      </c>
      <c r="M50" t="s">
        <v>44</v>
      </c>
      <c r="N50" t="s">
        <v>43</v>
      </c>
      <c r="O50" s="12" t="s">
        <v>43</v>
      </c>
      <c r="P50" s="12" t="s">
        <v>43</v>
      </c>
    </row>
    <row r="51" spans="1:16">
      <c r="A51" t="s">
        <v>46</v>
      </c>
      <c r="B51" t="s">
        <v>45</v>
      </c>
      <c r="C51" t="s">
        <v>45</v>
      </c>
      <c r="D51" t="s">
        <v>46</v>
      </c>
      <c r="E51" t="s">
        <v>46</v>
      </c>
      <c r="F51" t="s">
        <v>45</v>
      </c>
      <c r="G51" t="s">
        <v>46</v>
      </c>
      <c r="H51" t="s">
        <v>46</v>
      </c>
      <c r="I51" t="s">
        <v>45</v>
      </c>
      <c r="J51" t="s">
        <v>46</v>
      </c>
      <c r="K51" t="s">
        <v>46</v>
      </c>
      <c r="L51" t="s">
        <v>44</v>
      </c>
      <c r="M51" t="s">
        <v>47</v>
      </c>
      <c r="N51" t="s">
        <v>46</v>
      </c>
      <c r="O51" s="12" t="s">
        <v>46</v>
      </c>
      <c r="P51" s="12" t="s">
        <v>46</v>
      </c>
    </row>
    <row r="52" spans="1:16">
      <c r="A52" t="s">
        <v>44</v>
      </c>
      <c r="B52" t="s">
        <v>44</v>
      </c>
      <c r="C52" t="s">
        <v>44</v>
      </c>
      <c r="D52" t="s">
        <v>44</v>
      </c>
      <c r="E52" t="s">
        <v>46</v>
      </c>
      <c r="F52" t="s">
        <v>44</v>
      </c>
      <c r="G52" t="s">
        <v>43</v>
      </c>
      <c r="H52" t="s">
        <v>44</v>
      </c>
      <c r="I52" t="s">
        <v>44</v>
      </c>
      <c r="J52" t="s">
        <v>46</v>
      </c>
      <c r="K52" t="s">
        <v>43</v>
      </c>
      <c r="L52" t="s">
        <v>43</v>
      </c>
      <c r="M52" t="s">
        <v>44</v>
      </c>
      <c r="N52" t="s">
        <v>44</v>
      </c>
      <c r="O52" s="12" t="s">
        <v>44</v>
      </c>
      <c r="P52" s="12" t="s">
        <v>44</v>
      </c>
    </row>
    <row r="53" spans="1:16">
      <c r="A53" t="s">
        <v>43</v>
      </c>
      <c r="B53" t="s">
        <v>44</v>
      </c>
      <c r="C53" t="s">
        <v>44</v>
      </c>
      <c r="D53" t="s">
        <v>43</v>
      </c>
      <c r="E53" t="s">
        <v>43</v>
      </c>
      <c r="F53" t="s">
        <v>43</v>
      </c>
      <c r="G53" t="s">
        <v>44</v>
      </c>
      <c r="H53" t="s">
        <v>45</v>
      </c>
      <c r="I53" t="s">
        <v>43</v>
      </c>
      <c r="J53" t="s">
        <v>43</v>
      </c>
      <c r="K53" t="s">
        <v>44</v>
      </c>
      <c r="L53" t="s">
        <v>43</v>
      </c>
      <c r="M53" t="s">
        <v>46</v>
      </c>
      <c r="N53" t="s">
        <v>44</v>
      </c>
      <c r="O53" s="12" t="s">
        <v>44</v>
      </c>
      <c r="P53" s="12" t="s">
        <v>44</v>
      </c>
    </row>
    <row r="54" spans="1:16">
      <c r="A54" t="s">
        <v>47</v>
      </c>
      <c r="B54" t="s">
        <v>47</v>
      </c>
      <c r="C54" t="s">
        <v>45</v>
      </c>
      <c r="D54" t="s">
        <v>45</v>
      </c>
      <c r="E54" t="s">
        <v>47</v>
      </c>
      <c r="F54" t="s">
        <v>46</v>
      </c>
      <c r="G54" t="s">
        <v>45</v>
      </c>
      <c r="H54" t="s">
        <v>45</v>
      </c>
      <c r="I54" t="s">
        <v>43</v>
      </c>
      <c r="J54" t="s">
        <v>44</v>
      </c>
      <c r="K54" t="s">
        <v>43</v>
      </c>
      <c r="L54" t="s">
        <v>44</v>
      </c>
      <c r="M54" t="s">
        <v>43</v>
      </c>
      <c r="N54" t="s">
        <v>46</v>
      </c>
      <c r="O54" s="12" t="s">
        <v>44</v>
      </c>
      <c r="P54" s="12" t="s">
        <v>46</v>
      </c>
    </row>
    <row r="55" spans="1:16">
      <c r="A55" t="s">
        <v>44</v>
      </c>
      <c r="B55" t="s">
        <v>44</v>
      </c>
      <c r="C55" t="s">
        <v>46</v>
      </c>
      <c r="D55" t="s">
        <v>43</v>
      </c>
      <c r="E55" t="s">
        <v>44</v>
      </c>
      <c r="F55" t="s">
        <v>44</v>
      </c>
      <c r="G55" t="s">
        <v>43</v>
      </c>
      <c r="H55" t="s">
        <v>46</v>
      </c>
      <c r="I55" t="s">
        <v>44</v>
      </c>
      <c r="J55" t="s">
        <v>43</v>
      </c>
      <c r="K55" t="s">
        <v>43</v>
      </c>
      <c r="L55" t="s">
        <v>43</v>
      </c>
      <c r="M55" t="s">
        <v>44</v>
      </c>
      <c r="N55" t="s">
        <v>43</v>
      </c>
      <c r="O55" s="12" t="s">
        <v>43</v>
      </c>
      <c r="P55" s="12" t="s">
        <v>43</v>
      </c>
    </row>
    <row r="56" spans="1:16">
      <c r="A56" t="s">
        <v>46</v>
      </c>
      <c r="B56" t="s">
        <v>44</v>
      </c>
      <c r="C56" t="s">
        <v>45</v>
      </c>
      <c r="D56" t="s">
        <v>43</v>
      </c>
      <c r="E56" t="s">
        <v>46</v>
      </c>
      <c r="F56" t="s">
        <v>47</v>
      </c>
      <c r="G56" t="s">
        <v>47</v>
      </c>
      <c r="H56" t="s">
        <v>47</v>
      </c>
      <c r="I56" t="s">
        <v>46</v>
      </c>
      <c r="J56" t="s">
        <v>45</v>
      </c>
      <c r="K56" t="s">
        <v>46</v>
      </c>
      <c r="L56" t="s">
        <v>46</v>
      </c>
      <c r="M56" t="s">
        <v>46</v>
      </c>
      <c r="N56" t="s">
        <v>45</v>
      </c>
      <c r="O56" s="12" t="s">
        <v>46</v>
      </c>
      <c r="P56" s="12" t="s">
        <v>44</v>
      </c>
    </row>
    <row r="57" spans="1:16">
      <c r="A57" t="s">
        <v>47</v>
      </c>
      <c r="B57" t="s">
        <v>47</v>
      </c>
      <c r="C57" t="s">
        <v>45</v>
      </c>
      <c r="D57" t="s">
        <v>47</v>
      </c>
      <c r="E57" t="s">
        <v>47</v>
      </c>
      <c r="F57" t="s">
        <v>45</v>
      </c>
      <c r="G57" t="s">
        <v>45</v>
      </c>
      <c r="H57" t="s">
        <v>44</v>
      </c>
      <c r="I57" t="s">
        <v>46</v>
      </c>
      <c r="J57" t="s">
        <v>45</v>
      </c>
      <c r="K57" t="s">
        <v>47</v>
      </c>
      <c r="L57" t="s">
        <v>45</v>
      </c>
      <c r="M57" t="s">
        <v>45</v>
      </c>
      <c r="N57" t="s">
        <v>45</v>
      </c>
      <c r="O57" s="12" t="s">
        <v>44</v>
      </c>
      <c r="P57" s="12" t="s">
        <v>45</v>
      </c>
    </row>
    <row r="58" spans="1:16">
      <c r="A58" t="s">
        <v>43</v>
      </c>
      <c r="B58" t="s">
        <v>44</v>
      </c>
      <c r="C58" t="s">
        <v>43</v>
      </c>
      <c r="D58" t="s">
        <v>43</v>
      </c>
      <c r="E58" t="s">
        <v>44</v>
      </c>
      <c r="F58" t="s">
        <v>46</v>
      </c>
      <c r="G58" t="s">
        <v>44</v>
      </c>
      <c r="H58" t="s">
        <v>43</v>
      </c>
      <c r="I58" t="s">
        <v>46</v>
      </c>
      <c r="J58" t="s">
        <v>44</v>
      </c>
      <c r="K58" t="s">
        <v>43</v>
      </c>
      <c r="L58" t="s">
        <v>43</v>
      </c>
      <c r="M58" t="s">
        <v>44</v>
      </c>
      <c r="N58" t="s">
        <v>44</v>
      </c>
      <c r="O58" s="12" t="s">
        <v>44</v>
      </c>
      <c r="P58" s="12" t="s">
        <v>44</v>
      </c>
    </row>
    <row r="59" spans="1:16">
      <c r="A59" t="s">
        <v>46</v>
      </c>
      <c r="B59" t="s">
        <v>44</v>
      </c>
      <c r="C59" t="s">
        <v>46</v>
      </c>
      <c r="D59" t="s">
        <v>43</v>
      </c>
      <c r="E59" t="s">
        <v>47</v>
      </c>
      <c r="F59" t="s">
        <v>45</v>
      </c>
      <c r="G59" t="s">
        <v>45</v>
      </c>
      <c r="H59" t="s">
        <v>45</v>
      </c>
      <c r="I59" t="s">
        <v>47</v>
      </c>
      <c r="J59" t="s">
        <v>45</v>
      </c>
      <c r="K59" t="s">
        <v>45</v>
      </c>
      <c r="L59" t="s">
        <v>47</v>
      </c>
      <c r="M59" t="s">
        <v>47</v>
      </c>
      <c r="N59" t="s">
        <v>47</v>
      </c>
      <c r="O59" s="12" t="s">
        <v>46</v>
      </c>
      <c r="P59" s="12" t="s">
        <v>47</v>
      </c>
    </row>
    <row r="60" spans="1:16">
      <c r="A60" t="s">
        <v>47</v>
      </c>
      <c r="B60" t="s">
        <v>47</v>
      </c>
      <c r="C60" t="s">
        <v>47</v>
      </c>
      <c r="D60" t="s">
        <v>47</v>
      </c>
      <c r="E60" t="s">
        <v>45</v>
      </c>
      <c r="F60" t="s">
        <v>47</v>
      </c>
      <c r="G60" t="s">
        <v>45</v>
      </c>
      <c r="H60" t="s">
        <v>47</v>
      </c>
      <c r="I60" t="s">
        <v>47</v>
      </c>
      <c r="J60" t="s">
        <v>47</v>
      </c>
      <c r="K60" t="s">
        <v>47</v>
      </c>
      <c r="L60" t="s">
        <v>47</v>
      </c>
      <c r="M60" t="s">
        <v>46</v>
      </c>
      <c r="N60" t="s">
        <v>47</v>
      </c>
      <c r="O60" s="12" t="s">
        <v>46</v>
      </c>
      <c r="P60" s="12" t="s">
        <v>47</v>
      </c>
    </row>
    <row r="61" spans="1:16">
      <c r="A61" t="s">
        <v>44</v>
      </c>
      <c r="B61" t="s">
        <v>43</v>
      </c>
      <c r="C61" t="s">
        <v>44</v>
      </c>
      <c r="D61" t="s">
        <v>46</v>
      </c>
      <c r="E61" t="s">
        <v>44</v>
      </c>
      <c r="F61" t="s">
        <v>43</v>
      </c>
      <c r="G61" t="s">
        <v>44</v>
      </c>
      <c r="H61" t="s">
        <v>43</v>
      </c>
      <c r="I61" t="s">
        <v>44</v>
      </c>
      <c r="J61" t="s">
        <v>44</v>
      </c>
      <c r="K61" t="s">
        <v>44</v>
      </c>
      <c r="L61" t="s">
        <v>46</v>
      </c>
      <c r="M61" t="s">
        <v>44</v>
      </c>
      <c r="N61" t="s">
        <v>43</v>
      </c>
      <c r="O61" s="12" t="s">
        <v>43</v>
      </c>
      <c r="P61" s="12" t="s">
        <v>43</v>
      </c>
    </row>
    <row r="62" spans="1:16">
      <c r="A62" t="s">
        <v>43</v>
      </c>
      <c r="B62" t="s">
        <v>43</v>
      </c>
      <c r="C62" t="s">
        <v>43</v>
      </c>
      <c r="D62" t="s">
        <v>44</v>
      </c>
      <c r="E62" t="s">
        <v>44</v>
      </c>
      <c r="F62" t="s">
        <v>46</v>
      </c>
      <c r="G62" t="s">
        <v>44</v>
      </c>
      <c r="H62" t="s">
        <v>43</v>
      </c>
      <c r="I62" t="s">
        <v>44</v>
      </c>
      <c r="J62" t="s">
        <v>45</v>
      </c>
      <c r="K62" t="s">
        <v>44</v>
      </c>
      <c r="L62" t="s">
        <v>43</v>
      </c>
      <c r="M62" t="s">
        <v>44</v>
      </c>
      <c r="N62" t="s">
        <v>46</v>
      </c>
      <c r="O62" s="12" t="s">
        <v>44</v>
      </c>
      <c r="P62" s="12" t="s">
        <v>46</v>
      </c>
    </row>
    <row r="63" spans="1:16">
      <c r="A63" t="s">
        <v>45</v>
      </c>
      <c r="B63" t="s">
        <v>47</v>
      </c>
      <c r="C63" t="s">
        <v>45</v>
      </c>
      <c r="D63" t="s">
        <v>45</v>
      </c>
      <c r="E63" t="s">
        <v>45</v>
      </c>
      <c r="F63" t="s">
        <v>47</v>
      </c>
      <c r="G63" t="s">
        <v>45</v>
      </c>
      <c r="H63" t="s">
        <v>45</v>
      </c>
      <c r="I63" t="s">
        <v>47</v>
      </c>
      <c r="J63" t="s">
        <v>46</v>
      </c>
      <c r="K63" t="s">
        <v>45</v>
      </c>
      <c r="L63" t="s">
        <v>46</v>
      </c>
      <c r="M63" t="s">
        <v>44</v>
      </c>
      <c r="N63" t="s">
        <v>45</v>
      </c>
      <c r="O63" s="12" t="s">
        <v>44</v>
      </c>
      <c r="P63" s="12" t="s">
        <v>45</v>
      </c>
    </row>
    <row r="64" spans="1:16">
      <c r="A64" t="s">
        <v>46</v>
      </c>
      <c r="B64" t="s">
        <v>46</v>
      </c>
      <c r="C64" t="s">
        <v>45</v>
      </c>
      <c r="D64" t="s">
        <v>45</v>
      </c>
      <c r="E64" t="s">
        <v>45</v>
      </c>
      <c r="F64" t="s">
        <v>44</v>
      </c>
      <c r="G64" t="s">
        <v>43</v>
      </c>
      <c r="H64" t="s">
        <v>46</v>
      </c>
      <c r="I64" t="s">
        <v>43</v>
      </c>
      <c r="J64" t="s">
        <v>44</v>
      </c>
      <c r="K64" t="s">
        <v>43</v>
      </c>
      <c r="L64" t="s">
        <v>43</v>
      </c>
      <c r="M64" t="s">
        <v>43</v>
      </c>
      <c r="N64" t="s">
        <v>44</v>
      </c>
      <c r="O64" s="12" t="s">
        <v>44</v>
      </c>
      <c r="P64" s="12" t="s">
        <v>44</v>
      </c>
    </row>
    <row r="65" spans="1:16">
      <c r="A65" t="s">
        <v>44</v>
      </c>
      <c r="B65" t="s">
        <v>43</v>
      </c>
      <c r="C65" t="s">
        <v>43</v>
      </c>
      <c r="D65" t="s">
        <v>43</v>
      </c>
      <c r="E65" t="s">
        <v>44</v>
      </c>
      <c r="F65" t="s">
        <v>46</v>
      </c>
      <c r="G65" t="s">
        <v>44</v>
      </c>
      <c r="H65" t="s">
        <v>44</v>
      </c>
      <c r="I65" t="s">
        <v>46</v>
      </c>
      <c r="J65" t="s">
        <v>46</v>
      </c>
      <c r="K65" t="s">
        <v>43</v>
      </c>
      <c r="L65" t="s">
        <v>44</v>
      </c>
      <c r="M65" t="s">
        <v>46</v>
      </c>
      <c r="N65" t="s">
        <v>44</v>
      </c>
      <c r="O65" s="12" t="s">
        <v>44</v>
      </c>
      <c r="P65" s="12" t="s">
        <v>44</v>
      </c>
    </row>
    <row r="66" spans="1:16">
      <c r="A66" t="s">
        <v>45</v>
      </c>
      <c r="B66" t="s">
        <v>46</v>
      </c>
      <c r="C66" t="s">
        <v>47</v>
      </c>
      <c r="D66" t="s">
        <v>45</v>
      </c>
      <c r="E66" t="s">
        <v>47</v>
      </c>
      <c r="F66" t="s">
        <v>47</v>
      </c>
      <c r="G66" t="s">
        <v>45</v>
      </c>
      <c r="H66" t="s">
        <v>45</v>
      </c>
      <c r="I66" t="s">
        <v>47</v>
      </c>
      <c r="J66" t="s">
        <v>45</v>
      </c>
      <c r="K66" t="s">
        <v>46</v>
      </c>
      <c r="L66" t="s">
        <v>45</v>
      </c>
      <c r="M66" t="s">
        <v>46</v>
      </c>
      <c r="N66" t="s">
        <v>45</v>
      </c>
      <c r="O66" s="12" t="s">
        <v>46</v>
      </c>
      <c r="P66" s="12" t="s">
        <v>45</v>
      </c>
    </row>
    <row r="67" spans="1:16">
      <c r="A67" t="s">
        <v>47</v>
      </c>
      <c r="B67" t="s">
        <v>47</v>
      </c>
      <c r="C67" t="s">
        <v>45</v>
      </c>
      <c r="D67" t="s">
        <v>45</v>
      </c>
      <c r="E67" t="s">
        <v>47</v>
      </c>
      <c r="F67" t="s">
        <v>45</v>
      </c>
      <c r="G67" t="s">
        <v>46</v>
      </c>
      <c r="H67" t="s">
        <v>46</v>
      </c>
      <c r="I67" t="s">
        <v>46</v>
      </c>
      <c r="J67" t="s">
        <v>47</v>
      </c>
      <c r="K67" t="s">
        <v>47</v>
      </c>
      <c r="L67" t="s">
        <v>45</v>
      </c>
      <c r="M67" t="s">
        <v>47</v>
      </c>
      <c r="N67" t="s">
        <v>46</v>
      </c>
      <c r="O67" s="12" t="s">
        <v>44</v>
      </c>
      <c r="P67" s="12" t="s">
        <v>46</v>
      </c>
    </row>
    <row r="68" spans="1:16">
      <c r="A68" t="s">
        <v>44</v>
      </c>
      <c r="B68" t="s">
        <v>44</v>
      </c>
      <c r="C68" t="s">
        <v>43</v>
      </c>
      <c r="D68" t="s">
        <v>44</v>
      </c>
      <c r="E68" t="s">
        <v>46</v>
      </c>
      <c r="F68" t="s">
        <v>44</v>
      </c>
      <c r="G68" t="s">
        <v>44</v>
      </c>
      <c r="H68" t="s">
        <v>46</v>
      </c>
      <c r="I68" t="s">
        <v>46</v>
      </c>
      <c r="J68" t="s">
        <v>44</v>
      </c>
      <c r="K68" t="s">
        <v>46</v>
      </c>
      <c r="L68" t="s">
        <v>44</v>
      </c>
      <c r="M68" t="s">
        <v>44</v>
      </c>
      <c r="N68" t="s">
        <v>43</v>
      </c>
      <c r="O68" s="12" t="s">
        <v>43</v>
      </c>
      <c r="P68" s="12" t="s">
        <v>43</v>
      </c>
    </row>
    <row r="69" spans="1:16">
      <c r="A69" t="s">
        <v>47</v>
      </c>
      <c r="B69" t="s">
        <v>43</v>
      </c>
      <c r="C69" t="s">
        <v>47</v>
      </c>
      <c r="D69" t="s">
        <v>43</v>
      </c>
      <c r="E69" t="s">
        <v>45</v>
      </c>
      <c r="F69" t="s">
        <v>46</v>
      </c>
      <c r="G69" t="s">
        <v>44</v>
      </c>
      <c r="H69" t="s">
        <v>44</v>
      </c>
      <c r="I69" t="s">
        <v>44</v>
      </c>
      <c r="J69" t="s">
        <v>45</v>
      </c>
      <c r="K69" t="s">
        <v>44</v>
      </c>
      <c r="L69" t="s">
        <v>43</v>
      </c>
      <c r="M69" t="s">
        <v>46</v>
      </c>
      <c r="N69" t="s">
        <v>44</v>
      </c>
      <c r="O69" s="12" t="s">
        <v>44</v>
      </c>
      <c r="P69" s="12" t="s">
        <v>44</v>
      </c>
    </row>
    <row r="70" spans="1:16">
      <c r="A70" t="s">
        <v>45</v>
      </c>
      <c r="B70" t="s">
        <v>45</v>
      </c>
      <c r="C70" t="s">
        <v>47</v>
      </c>
      <c r="D70" t="s">
        <v>46</v>
      </c>
      <c r="E70" t="s">
        <v>46</v>
      </c>
      <c r="F70" t="s">
        <v>47</v>
      </c>
      <c r="G70" t="s">
        <v>47</v>
      </c>
      <c r="H70" t="s">
        <v>45</v>
      </c>
      <c r="I70" t="s">
        <v>46</v>
      </c>
      <c r="J70" t="s">
        <v>45</v>
      </c>
      <c r="K70" t="s">
        <v>45</v>
      </c>
      <c r="L70" t="s">
        <v>45</v>
      </c>
      <c r="M70" t="s">
        <v>45</v>
      </c>
      <c r="N70" t="s">
        <v>46</v>
      </c>
      <c r="O70" s="12" t="s">
        <v>46</v>
      </c>
      <c r="P70" s="12" t="s">
        <v>46</v>
      </c>
    </row>
    <row r="71" spans="1:16">
      <c r="A71" t="s">
        <v>43</v>
      </c>
      <c r="B71" t="s">
        <v>43</v>
      </c>
      <c r="C71" t="s">
        <v>43</v>
      </c>
      <c r="D71" t="s">
        <v>43</v>
      </c>
      <c r="E71" t="s">
        <v>44</v>
      </c>
      <c r="F71" t="s">
        <v>44</v>
      </c>
      <c r="G71" t="s">
        <v>44</v>
      </c>
      <c r="H71" t="s">
        <v>44</v>
      </c>
      <c r="I71" t="s">
        <v>46</v>
      </c>
      <c r="J71" t="s">
        <v>43</v>
      </c>
      <c r="K71" t="s">
        <v>44</v>
      </c>
      <c r="L71" t="s">
        <v>44</v>
      </c>
      <c r="M71" t="s">
        <v>46</v>
      </c>
      <c r="N71" t="s">
        <v>43</v>
      </c>
      <c r="O71" s="12" t="s">
        <v>43</v>
      </c>
      <c r="P71" s="12" t="s">
        <v>43</v>
      </c>
    </row>
    <row r="72" spans="1:16">
      <c r="A72" t="s">
        <v>46</v>
      </c>
      <c r="B72" t="s">
        <v>47</v>
      </c>
      <c r="C72" t="s">
        <v>45</v>
      </c>
      <c r="D72" t="s">
        <v>46</v>
      </c>
      <c r="E72" t="s">
        <v>45</v>
      </c>
      <c r="F72" t="s">
        <v>47</v>
      </c>
      <c r="G72" t="s">
        <v>46</v>
      </c>
      <c r="H72" t="s">
        <v>45</v>
      </c>
      <c r="I72" t="s">
        <v>46</v>
      </c>
      <c r="J72" t="s">
        <v>45</v>
      </c>
      <c r="K72" t="s">
        <v>45</v>
      </c>
      <c r="L72" t="s">
        <v>47</v>
      </c>
      <c r="M72" t="s">
        <v>45</v>
      </c>
      <c r="N72" t="s">
        <v>45</v>
      </c>
      <c r="O72" s="12" t="s">
        <v>44</v>
      </c>
      <c r="P72" s="12" t="s">
        <v>45</v>
      </c>
    </row>
    <row r="73" spans="1:16">
      <c r="A73" t="s">
        <v>45</v>
      </c>
      <c r="B73" t="s">
        <v>44</v>
      </c>
      <c r="C73" t="s">
        <v>46</v>
      </c>
      <c r="D73" t="s">
        <v>46</v>
      </c>
      <c r="E73" t="s">
        <v>45</v>
      </c>
      <c r="F73" t="s">
        <v>46</v>
      </c>
      <c r="G73" t="s">
        <v>44</v>
      </c>
      <c r="H73" t="s">
        <v>44</v>
      </c>
      <c r="I73" t="s">
        <v>46</v>
      </c>
      <c r="J73" t="s">
        <v>44</v>
      </c>
      <c r="K73" t="s">
        <v>44</v>
      </c>
      <c r="L73" t="s">
        <v>44</v>
      </c>
      <c r="M73" t="s">
        <v>46</v>
      </c>
      <c r="N73" t="s">
        <v>44</v>
      </c>
      <c r="O73" s="12" t="s">
        <v>44</v>
      </c>
      <c r="P73" s="12" t="s">
        <v>44</v>
      </c>
    </row>
    <row r="74" spans="1:16">
      <c r="A74" t="s">
        <v>47</v>
      </c>
      <c r="B74" t="s">
        <v>47</v>
      </c>
      <c r="C74" t="s">
        <v>47</v>
      </c>
      <c r="D74" t="s">
        <v>47</v>
      </c>
      <c r="E74" t="s">
        <v>45</v>
      </c>
      <c r="F74" t="s">
        <v>45</v>
      </c>
      <c r="G74" t="s">
        <v>47</v>
      </c>
      <c r="H74" t="s">
        <v>45</v>
      </c>
      <c r="I74" t="s">
        <v>45</v>
      </c>
      <c r="J74" t="s">
        <v>47</v>
      </c>
      <c r="K74" t="s">
        <v>47</v>
      </c>
      <c r="L74" t="s">
        <v>47</v>
      </c>
      <c r="M74" t="s">
        <v>47</v>
      </c>
      <c r="N74" t="s">
        <v>47</v>
      </c>
      <c r="O74" s="12" t="s">
        <v>46</v>
      </c>
      <c r="P74" s="12" t="s">
        <v>47</v>
      </c>
    </row>
    <row r="75" spans="1:16">
      <c r="A75" t="s">
        <v>43</v>
      </c>
      <c r="B75" t="s">
        <v>43</v>
      </c>
      <c r="C75" t="s">
        <v>44</v>
      </c>
      <c r="D75" t="s">
        <v>46</v>
      </c>
      <c r="E75" t="s">
        <v>46</v>
      </c>
      <c r="F75" t="s">
        <v>44</v>
      </c>
      <c r="G75" t="s">
        <v>44</v>
      </c>
      <c r="H75" t="s">
        <v>46</v>
      </c>
      <c r="I75" t="s">
        <v>43</v>
      </c>
      <c r="J75" t="s">
        <v>46</v>
      </c>
      <c r="K75" t="s">
        <v>44</v>
      </c>
      <c r="L75" t="s">
        <v>44</v>
      </c>
      <c r="M75" t="s">
        <v>44</v>
      </c>
      <c r="N75" t="s">
        <v>46</v>
      </c>
      <c r="O75" s="12" t="s">
        <v>46</v>
      </c>
      <c r="P75" s="12" t="s">
        <v>46</v>
      </c>
    </row>
    <row r="76" spans="1:16">
      <c r="A76" t="s">
        <v>45</v>
      </c>
      <c r="B76" t="s">
        <v>46</v>
      </c>
      <c r="C76" t="s">
        <v>44</v>
      </c>
      <c r="D76" t="s">
        <v>45</v>
      </c>
      <c r="E76" t="s">
        <v>46</v>
      </c>
      <c r="F76" t="s">
        <v>47</v>
      </c>
      <c r="G76" t="s">
        <v>47</v>
      </c>
      <c r="H76" t="s">
        <v>47</v>
      </c>
      <c r="I76" t="s">
        <v>45</v>
      </c>
      <c r="J76" t="s">
        <v>45</v>
      </c>
      <c r="K76" t="s">
        <v>46</v>
      </c>
      <c r="L76" t="s">
        <v>45</v>
      </c>
      <c r="M76" t="s">
        <v>47</v>
      </c>
      <c r="N76" t="s">
        <v>45</v>
      </c>
      <c r="O76" s="12" t="s">
        <v>44</v>
      </c>
      <c r="P76" s="12" t="s">
        <v>45</v>
      </c>
    </row>
    <row r="77" spans="1:16">
      <c r="A77" t="s">
        <v>45</v>
      </c>
      <c r="B77" t="s">
        <v>47</v>
      </c>
      <c r="C77" t="s">
        <v>45</v>
      </c>
      <c r="D77" t="s">
        <v>47</v>
      </c>
      <c r="E77" t="s">
        <v>47</v>
      </c>
      <c r="F77" t="s">
        <v>47</v>
      </c>
      <c r="G77" t="s">
        <v>46</v>
      </c>
      <c r="H77" t="s">
        <v>47</v>
      </c>
      <c r="I77" t="s">
        <v>45</v>
      </c>
      <c r="J77" t="s">
        <v>45</v>
      </c>
      <c r="K77" t="s">
        <v>47</v>
      </c>
      <c r="L77" t="s">
        <v>47</v>
      </c>
      <c r="M77" t="s">
        <v>47</v>
      </c>
      <c r="N77" t="s">
        <v>45</v>
      </c>
      <c r="O77" s="12" t="s">
        <v>45</v>
      </c>
      <c r="P77" s="12" t="s">
        <v>45</v>
      </c>
    </row>
    <row r="78" spans="1:16">
      <c r="A78" t="s">
        <v>44</v>
      </c>
      <c r="B78" t="s">
        <v>43</v>
      </c>
      <c r="C78" t="s">
        <v>46</v>
      </c>
      <c r="D78" t="s">
        <v>44</v>
      </c>
      <c r="E78" t="s">
        <v>46</v>
      </c>
      <c r="F78" t="s">
        <v>44</v>
      </c>
      <c r="G78" t="s">
        <v>45</v>
      </c>
      <c r="H78" t="s">
        <v>46</v>
      </c>
      <c r="I78" t="s">
        <v>46</v>
      </c>
      <c r="J78" t="s">
        <v>46</v>
      </c>
      <c r="K78" t="s">
        <v>46</v>
      </c>
      <c r="L78" t="s">
        <v>45</v>
      </c>
      <c r="M78" t="s">
        <v>44</v>
      </c>
      <c r="N78" t="s">
        <v>44</v>
      </c>
      <c r="O78" s="12" t="s">
        <v>44</v>
      </c>
      <c r="P78" s="12" t="s">
        <v>44</v>
      </c>
    </row>
    <row r="79" spans="1:16">
      <c r="A79" t="s">
        <v>47</v>
      </c>
      <c r="B79" t="s">
        <v>45</v>
      </c>
      <c r="C79" t="s">
        <v>45</v>
      </c>
      <c r="D79" t="s">
        <v>45</v>
      </c>
      <c r="E79" t="s">
        <v>45</v>
      </c>
      <c r="F79" t="s">
        <v>45</v>
      </c>
      <c r="G79" t="s">
        <v>45</v>
      </c>
      <c r="H79" t="s">
        <v>46</v>
      </c>
      <c r="I79" t="s">
        <v>45</v>
      </c>
      <c r="J79" t="s">
        <v>47</v>
      </c>
      <c r="K79" t="s">
        <v>45</v>
      </c>
      <c r="L79" t="s">
        <v>47</v>
      </c>
      <c r="M79" t="s">
        <v>45</v>
      </c>
      <c r="N79" t="s">
        <v>47</v>
      </c>
      <c r="O79" s="12" t="s">
        <v>46</v>
      </c>
      <c r="P79" s="12" t="s">
        <v>47</v>
      </c>
    </row>
    <row r="80" spans="1:16">
      <c r="A80" t="s">
        <v>45</v>
      </c>
      <c r="B80" t="s">
        <v>45</v>
      </c>
      <c r="C80" t="s">
        <v>46</v>
      </c>
      <c r="D80" t="s">
        <v>46</v>
      </c>
      <c r="E80" t="s">
        <v>45</v>
      </c>
      <c r="F80" t="s">
        <v>46</v>
      </c>
      <c r="G80" t="s">
        <v>46</v>
      </c>
      <c r="H80" t="s">
        <v>44</v>
      </c>
      <c r="I80" t="s">
        <v>46</v>
      </c>
      <c r="J80" t="s">
        <v>45</v>
      </c>
      <c r="K80" t="s">
        <v>47</v>
      </c>
      <c r="L80" t="s">
        <v>47</v>
      </c>
      <c r="M80" t="s">
        <v>45</v>
      </c>
      <c r="N80" t="s">
        <v>46</v>
      </c>
      <c r="O80" s="12" t="s">
        <v>46</v>
      </c>
      <c r="P80" s="12" t="s">
        <v>46</v>
      </c>
    </row>
    <row r="81" spans="1:16">
      <c r="A81" t="s">
        <v>46</v>
      </c>
      <c r="B81" t="s">
        <v>47</v>
      </c>
      <c r="C81" t="s">
        <v>46</v>
      </c>
      <c r="D81" t="s">
        <v>44</v>
      </c>
      <c r="E81" t="s">
        <v>45</v>
      </c>
      <c r="F81" t="s">
        <v>47</v>
      </c>
      <c r="G81" t="s">
        <v>45</v>
      </c>
      <c r="H81" t="s">
        <v>45</v>
      </c>
      <c r="I81" t="s">
        <v>45</v>
      </c>
      <c r="J81" t="s">
        <v>45</v>
      </c>
      <c r="K81" t="s">
        <v>45</v>
      </c>
      <c r="L81" t="s">
        <v>47</v>
      </c>
      <c r="M81" t="s">
        <v>44</v>
      </c>
      <c r="N81" t="s">
        <v>46</v>
      </c>
      <c r="O81" s="12" t="s">
        <v>44</v>
      </c>
      <c r="P81" s="12" t="s">
        <v>46</v>
      </c>
    </row>
    <row r="82" spans="1:16">
      <c r="A82" t="s">
        <v>46</v>
      </c>
      <c r="B82" t="s">
        <v>45</v>
      </c>
      <c r="C82" t="s">
        <v>44</v>
      </c>
      <c r="D82" t="s">
        <v>46</v>
      </c>
      <c r="E82" t="s">
        <v>46</v>
      </c>
      <c r="F82" t="s">
        <v>45</v>
      </c>
      <c r="G82" t="s">
        <v>45</v>
      </c>
      <c r="H82" t="s">
        <v>46</v>
      </c>
      <c r="I82" t="s">
        <v>45</v>
      </c>
      <c r="J82" t="s">
        <v>46</v>
      </c>
      <c r="K82" t="s">
        <v>46</v>
      </c>
      <c r="L82" t="s">
        <v>45</v>
      </c>
      <c r="M82" t="s">
        <v>46</v>
      </c>
      <c r="N82" t="s">
        <v>46</v>
      </c>
      <c r="O82" s="12" t="s">
        <v>46</v>
      </c>
      <c r="P82" s="12" t="s">
        <v>46</v>
      </c>
    </row>
    <row r="83" spans="1:16">
      <c r="A83" t="s">
        <v>46</v>
      </c>
      <c r="B83" t="s">
        <v>45</v>
      </c>
      <c r="C83" t="s">
        <v>45</v>
      </c>
      <c r="D83" t="s">
        <v>45</v>
      </c>
      <c r="E83" t="s">
        <v>46</v>
      </c>
      <c r="F83" t="s">
        <v>44</v>
      </c>
      <c r="G83" t="s">
        <v>45</v>
      </c>
      <c r="H83" t="s">
        <v>46</v>
      </c>
      <c r="I83" t="s">
        <v>46</v>
      </c>
      <c r="J83" t="s">
        <v>44</v>
      </c>
      <c r="K83" t="s">
        <v>46</v>
      </c>
      <c r="L83" t="s">
        <v>44</v>
      </c>
      <c r="M83" t="s">
        <v>44</v>
      </c>
      <c r="N83" t="s">
        <v>45</v>
      </c>
      <c r="O83" s="12" t="s">
        <v>46</v>
      </c>
      <c r="P83" s="12" t="s">
        <v>44</v>
      </c>
    </row>
    <row r="84" spans="1:16">
      <c r="A84" t="s">
        <v>47</v>
      </c>
      <c r="B84" t="s">
        <v>47</v>
      </c>
      <c r="C84" t="s">
        <v>47</v>
      </c>
      <c r="D84" t="s">
        <v>45</v>
      </c>
      <c r="E84" t="s">
        <v>46</v>
      </c>
      <c r="F84" t="s">
        <v>46</v>
      </c>
      <c r="G84" t="s">
        <v>46</v>
      </c>
      <c r="H84" t="s">
        <v>45</v>
      </c>
      <c r="I84" t="s">
        <v>45</v>
      </c>
      <c r="J84" t="s">
        <v>46</v>
      </c>
      <c r="K84" t="s">
        <v>46</v>
      </c>
      <c r="L84" t="s">
        <v>46</v>
      </c>
      <c r="M84" t="s">
        <v>45</v>
      </c>
      <c r="N84" t="s">
        <v>45</v>
      </c>
      <c r="O84" s="12" t="s">
        <v>46</v>
      </c>
      <c r="P84" s="12" t="s">
        <v>44</v>
      </c>
    </row>
    <row r="85" spans="1:16">
      <c r="A85" t="s">
        <v>46</v>
      </c>
      <c r="B85" t="s">
        <v>46</v>
      </c>
      <c r="C85" t="s">
        <v>45</v>
      </c>
      <c r="D85" t="s">
        <v>43</v>
      </c>
      <c r="E85" t="s">
        <v>46</v>
      </c>
      <c r="F85" t="s">
        <v>46</v>
      </c>
      <c r="G85" t="s">
        <v>46</v>
      </c>
      <c r="H85" t="s">
        <v>46</v>
      </c>
      <c r="I85" t="s">
        <v>46</v>
      </c>
      <c r="J85" t="s">
        <v>43</v>
      </c>
      <c r="K85" t="s">
        <v>45</v>
      </c>
      <c r="L85" t="s">
        <v>44</v>
      </c>
      <c r="M85" t="s">
        <v>46</v>
      </c>
      <c r="N85" t="s">
        <v>45</v>
      </c>
      <c r="O85" s="12" t="s">
        <v>44</v>
      </c>
      <c r="P85" s="12" t="s">
        <v>44</v>
      </c>
    </row>
    <row r="86" spans="1:16">
      <c r="A86" t="s">
        <v>45</v>
      </c>
      <c r="B86" t="s">
        <v>45</v>
      </c>
      <c r="C86" t="s">
        <v>47</v>
      </c>
      <c r="D86" t="s">
        <v>45</v>
      </c>
      <c r="E86" t="s">
        <v>45</v>
      </c>
      <c r="F86" t="s">
        <v>45</v>
      </c>
      <c r="G86" t="s">
        <v>46</v>
      </c>
      <c r="H86" t="s">
        <v>45</v>
      </c>
      <c r="I86" t="s">
        <v>47</v>
      </c>
      <c r="J86" t="s">
        <v>46</v>
      </c>
      <c r="K86" t="s">
        <v>46</v>
      </c>
      <c r="L86" t="s">
        <v>45</v>
      </c>
      <c r="M86" t="s">
        <v>45</v>
      </c>
      <c r="N86" t="s">
        <v>46</v>
      </c>
      <c r="O86" s="12" t="s">
        <v>44</v>
      </c>
      <c r="P86" s="12" t="s">
        <v>46</v>
      </c>
    </row>
    <row r="87" spans="1:16">
      <c r="A87" t="s">
        <v>44</v>
      </c>
      <c r="B87" t="s">
        <v>44</v>
      </c>
      <c r="C87" t="s">
        <v>43</v>
      </c>
      <c r="D87" t="s">
        <v>46</v>
      </c>
      <c r="E87" t="s">
        <v>43</v>
      </c>
      <c r="F87" t="s">
        <v>44</v>
      </c>
      <c r="G87" t="s">
        <v>43</v>
      </c>
      <c r="H87" t="s">
        <v>45</v>
      </c>
      <c r="I87" t="s">
        <v>45</v>
      </c>
      <c r="J87" t="s">
        <v>45</v>
      </c>
      <c r="K87" t="s">
        <v>47</v>
      </c>
      <c r="L87" t="s">
        <v>45</v>
      </c>
      <c r="M87" t="s">
        <v>45</v>
      </c>
      <c r="N87" t="s">
        <v>45</v>
      </c>
      <c r="O87" s="12" t="s">
        <v>46</v>
      </c>
      <c r="P87" s="12" t="s">
        <v>44</v>
      </c>
    </row>
    <row r="88" spans="1:16">
      <c r="A88" t="s">
        <v>44</v>
      </c>
      <c r="B88" t="s">
        <v>46</v>
      </c>
      <c r="C88" t="s">
        <v>45</v>
      </c>
      <c r="D88" t="s">
        <v>45</v>
      </c>
      <c r="E88" t="s">
        <v>44</v>
      </c>
      <c r="F88" t="s">
        <v>47</v>
      </c>
      <c r="G88" t="s">
        <v>47</v>
      </c>
      <c r="H88" t="s">
        <v>43</v>
      </c>
      <c r="I88" t="s">
        <v>47</v>
      </c>
      <c r="J88" t="s">
        <v>45</v>
      </c>
      <c r="K88" t="s">
        <v>47</v>
      </c>
      <c r="L88" t="s">
        <v>47</v>
      </c>
      <c r="M88" t="s">
        <v>46</v>
      </c>
      <c r="N88" t="s">
        <v>45</v>
      </c>
      <c r="O88" s="12" t="s">
        <v>44</v>
      </c>
      <c r="P88" s="12" t="s">
        <v>44</v>
      </c>
    </row>
    <row r="89" spans="1:16">
      <c r="A89" t="s">
        <v>45</v>
      </c>
      <c r="B89" t="s">
        <v>46</v>
      </c>
      <c r="C89" t="s">
        <v>47</v>
      </c>
      <c r="D89" t="s">
        <v>46</v>
      </c>
      <c r="E89" t="s">
        <v>47</v>
      </c>
      <c r="F89" t="s">
        <v>46</v>
      </c>
      <c r="G89" t="s">
        <v>46</v>
      </c>
      <c r="H89" t="s">
        <v>46</v>
      </c>
      <c r="I89" t="s">
        <v>46</v>
      </c>
      <c r="J89" t="s">
        <v>45</v>
      </c>
      <c r="K89" t="s">
        <v>46</v>
      </c>
      <c r="L89" t="s">
        <v>47</v>
      </c>
      <c r="M89" t="s">
        <v>46</v>
      </c>
      <c r="N89" t="s">
        <v>45</v>
      </c>
      <c r="O89" s="12" t="s">
        <v>44</v>
      </c>
      <c r="P89" s="12" t="s">
        <v>44</v>
      </c>
    </row>
    <row r="90" spans="1:16">
      <c r="A90" t="s">
        <v>47</v>
      </c>
      <c r="B90" t="s">
        <v>45</v>
      </c>
      <c r="C90" t="s">
        <v>47</v>
      </c>
      <c r="D90" t="s">
        <v>47</v>
      </c>
      <c r="E90" t="s">
        <v>45</v>
      </c>
      <c r="F90" t="s">
        <v>47</v>
      </c>
      <c r="G90" t="s">
        <v>43</v>
      </c>
      <c r="H90" t="s">
        <v>45</v>
      </c>
      <c r="I90" t="s">
        <v>47</v>
      </c>
      <c r="J90" t="s">
        <v>45</v>
      </c>
      <c r="K90" t="s">
        <v>46</v>
      </c>
      <c r="L90" t="s">
        <v>45</v>
      </c>
      <c r="M90" t="s">
        <v>45</v>
      </c>
      <c r="N90" t="s">
        <v>46</v>
      </c>
      <c r="O90" s="12" t="s">
        <v>44</v>
      </c>
      <c r="P90" s="12" t="s">
        <v>46</v>
      </c>
    </row>
    <row r="91" spans="1:16">
      <c r="A91" t="s">
        <v>45</v>
      </c>
      <c r="B91" t="s">
        <v>47</v>
      </c>
      <c r="C91" t="s">
        <v>45</v>
      </c>
      <c r="D91" t="s">
        <v>47</v>
      </c>
      <c r="E91" t="s">
        <v>46</v>
      </c>
      <c r="F91" t="s">
        <v>45</v>
      </c>
      <c r="G91" t="s">
        <v>45</v>
      </c>
      <c r="H91" t="s">
        <v>46</v>
      </c>
      <c r="I91" t="s">
        <v>43</v>
      </c>
      <c r="J91" t="s">
        <v>44</v>
      </c>
      <c r="K91" t="s">
        <v>46</v>
      </c>
      <c r="L91" t="s">
        <v>46</v>
      </c>
      <c r="M91" t="s">
        <v>45</v>
      </c>
      <c r="N91" t="s">
        <v>46</v>
      </c>
      <c r="O91" s="12" t="s">
        <v>46</v>
      </c>
      <c r="P91" s="12" t="s">
        <v>46</v>
      </c>
    </row>
    <row r="92" spans="1:16">
      <c r="A92" t="s">
        <v>44</v>
      </c>
      <c r="B92" t="s">
        <v>44</v>
      </c>
      <c r="C92" t="s">
        <v>45</v>
      </c>
      <c r="D92" t="s">
        <v>46</v>
      </c>
      <c r="E92" t="s">
        <v>46</v>
      </c>
      <c r="F92" t="s">
        <v>46</v>
      </c>
      <c r="G92" t="s">
        <v>46</v>
      </c>
      <c r="H92" t="s">
        <v>46</v>
      </c>
      <c r="I92" t="s">
        <v>44</v>
      </c>
      <c r="J92" t="s">
        <v>45</v>
      </c>
      <c r="K92" t="s">
        <v>44</v>
      </c>
      <c r="L92" t="s">
        <v>44</v>
      </c>
      <c r="M92" t="s">
        <v>43</v>
      </c>
      <c r="N92" t="s">
        <v>44</v>
      </c>
      <c r="O92" s="12" t="s">
        <v>44</v>
      </c>
      <c r="P92" s="12" t="s">
        <v>44</v>
      </c>
    </row>
    <row r="93" spans="1:16">
      <c r="A93" t="s">
        <v>45</v>
      </c>
      <c r="B93" t="s">
        <v>46</v>
      </c>
      <c r="C93" t="s">
        <v>46</v>
      </c>
      <c r="D93" t="s">
        <v>45</v>
      </c>
      <c r="E93" t="s">
        <v>45</v>
      </c>
      <c r="F93" t="s">
        <v>44</v>
      </c>
      <c r="G93" t="s">
        <v>43</v>
      </c>
      <c r="H93" t="s">
        <v>43</v>
      </c>
      <c r="I93" t="s">
        <v>44</v>
      </c>
      <c r="J93" t="s">
        <v>44</v>
      </c>
      <c r="K93" t="s">
        <v>44</v>
      </c>
      <c r="L93" t="s">
        <v>44</v>
      </c>
      <c r="M93" t="s">
        <v>46</v>
      </c>
      <c r="N93" t="s">
        <v>44</v>
      </c>
      <c r="O93" s="12" t="s">
        <v>44</v>
      </c>
      <c r="P93" s="12" t="s">
        <v>44</v>
      </c>
    </row>
    <row r="94" spans="1:16">
      <c r="A94" t="s">
        <v>44</v>
      </c>
      <c r="B94" t="s">
        <v>46</v>
      </c>
      <c r="C94" t="s">
        <v>46</v>
      </c>
      <c r="D94" t="s">
        <v>44</v>
      </c>
      <c r="E94" t="s">
        <v>44</v>
      </c>
      <c r="F94" t="s">
        <v>44</v>
      </c>
      <c r="G94" t="s">
        <v>44</v>
      </c>
      <c r="H94" t="s">
        <v>44</v>
      </c>
      <c r="I94" t="s">
        <v>44</v>
      </c>
      <c r="J94" t="s">
        <v>43</v>
      </c>
      <c r="K94" t="s">
        <v>46</v>
      </c>
      <c r="L94" t="s">
        <v>43</v>
      </c>
      <c r="M94" t="s">
        <v>46</v>
      </c>
      <c r="N94" t="s">
        <v>44</v>
      </c>
      <c r="O94" s="12" t="s">
        <v>44</v>
      </c>
      <c r="P94" s="12" t="s">
        <v>44</v>
      </c>
    </row>
    <row r="95" spans="1:16">
      <c r="A95" t="s">
        <v>47</v>
      </c>
      <c r="B95" t="s">
        <v>47</v>
      </c>
      <c r="C95" t="s">
        <v>45</v>
      </c>
      <c r="D95" t="s">
        <v>45</v>
      </c>
      <c r="E95" t="s">
        <v>45</v>
      </c>
      <c r="F95" t="s">
        <v>44</v>
      </c>
      <c r="G95" t="s">
        <v>43</v>
      </c>
      <c r="H95" t="s">
        <v>44</v>
      </c>
      <c r="I95" t="s">
        <v>43</v>
      </c>
      <c r="J95" t="s">
        <v>44</v>
      </c>
      <c r="K95" t="s">
        <v>44</v>
      </c>
      <c r="L95" t="s">
        <v>43</v>
      </c>
      <c r="M95" t="s">
        <v>43</v>
      </c>
      <c r="N95" t="s">
        <v>43</v>
      </c>
      <c r="O95" s="12" t="s">
        <v>43</v>
      </c>
      <c r="P95" s="12" t="s">
        <v>43</v>
      </c>
    </row>
    <row r="96" spans="1:16">
      <c r="A96" t="s">
        <v>44</v>
      </c>
      <c r="B96" t="s">
        <v>44</v>
      </c>
      <c r="C96" t="s">
        <v>44</v>
      </c>
      <c r="D96" t="s">
        <v>44</v>
      </c>
      <c r="E96" t="s">
        <v>46</v>
      </c>
      <c r="F96" t="s">
        <v>44</v>
      </c>
      <c r="G96" t="s">
        <v>44</v>
      </c>
      <c r="H96" t="s">
        <v>43</v>
      </c>
      <c r="I96" t="s">
        <v>44</v>
      </c>
      <c r="J96" t="s">
        <v>46</v>
      </c>
      <c r="K96" t="s">
        <v>44</v>
      </c>
      <c r="L96" t="s">
        <v>46</v>
      </c>
      <c r="M96" t="s">
        <v>44</v>
      </c>
      <c r="N96" t="s">
        <v>46</v>
      </c>
      <c r="O96" s="12" t="s">
        <v>46</v>
      </c>
      <c r="P96" s="12" t="s">
        <v>46</v>
      </c>
    </row>
    <row r="97" spans="1:16">
      <c r="A97" t="s">
        <v>46</v>
      </c>
      <c r="B97" t="s">
        <v>44</v>
      </c>
      <c r="C97" t="s">
        <v>44</v>
      </c>
      <c r="D97" t="s">
        <v>43</v>
      </c>
      <c r="E97" t="s">
        <v>43</v>
      </c>
      <c r="F97" t="s">
        <v>47</v>
      </c>
      <c r="G97" t="s">
        <v>47</v>
      </c>
      <c r="H97" t="s">
        <v>45</v>
      </c>
      <c r="I97" t="s">
        <v>45</v>
      </c>
      <c r="J97" t="s">
        <v>43</v>
      </c>
      <c r="K97" t="s">
        <v>44</v>
      </c>
      <c r="L97" t="s">
        <v>46</v>
      </c>
      <c r="M97" t="s">
        <v>46</v>
      </c>
      <c r="N97" t="s">
        <v>46</v>
      </c>
      <c r="O97" s="12" t="s">
        <v>44</v>
      </c>
      <c r="P97" s="12" t="s">
        <v>46</v>
      </c>
    </row>
    <row r="98" spans="1:16">
      <c r="A98" t="s">
        <v>45</v>
      </c>
      <c r="B98" t="s">
        <v>47</v>
      </c>
      <c r="C98" t="s">
        <v>47</v>
      </c>
      <c r="D98" t="s">
        <v>47</v>
      </c>
      <c r="E98" t="s">
        <v>47</v>
      </c>
      <c r="F98" t="s">
        <v>47</v>
      </c>
      <c r="G98" t="s">
        <v>43</v>
      </c>
      <c r="H98" t="s">
        <v>45</v>
      </c>
      <c r="I98" t="s">
        <v>45</v>
      </c>
      <c r="J98" t="s">
        <v>45</v>
      </c>
      <c r="K98" t="s">
        <v>44</v>
      </c>
      <c r="L98" t="s">
        <v>46</v>
      </c>
      <c r="M98" t="s">
        <v>45</v>
      </c>
      <c r="N98" t="s">
        <v>46</v>
      </c>
      <c r="O98" s="12" t="s">
        <v>46</v>
      </c>
      <c r="P98" s="12" t="s">
        <v>46</v>
      </c>
    </row>
    <row r="99" spans="1:16">
      <c r="A99" t="s">
        <v>44</v>
      </c>
      <c r="B99" t="s">
        <v>44</v>
      </c>
      <c r="C99" t="s">
        <v>46</v>
      </c>
      <c r="D99" t="s">
        <v>44</v>
      </c>
      <c r="E99" t="s">
        <v>44</v>
      </c>
      <c r="F99" t="s">
        <v>44</v>
      </c>
      <c r="G99" t="s">
        <v>46</v>
      </c>
      <c r="H99" t="s">
        <v>46</v>
      </c>
      <c r="I99" t="s">
        <v>44</v>
      </c>
      <c r="J99" t="s">
        <v>44</v>
      </c>
      <c r="K99" t="s">
        <v>44</v>
      </c>
      <c r="L99" t="s">
        <v>43</v>
      </c>
      <c r="M99" t="s">
        <v>44</v>
      </c>
      <c r="N99" t="s">
        <v>43</v>
      </c>
      <c r="O99" s="12" t="s">
        <v>43</v>
      </c>
      <c r="P99" s="12" t="s">
        <v>43</v>
      </c>
    </row>
    <row r="100" spans="1:16">
      <c r="A100" t="s">
        <v>44</v>
      </c>
      <c r="B100" t="s">
        <v>46</v>
      </c>
      <c r="C100" t="s">
        <v>44</v>
      </c>
      <c r="D100" t="s">
        <v>44</v>
      </c>
      <c r="E100" t="s">
        <v>44</v>
      </c>
      <c r="F100" t="s">
        <v>45</v>
      </c>
      <c r="G100" t="s">
        <v>44</v>
      </c>
      <c r="H100" t="s">
        <v>46</v>
      </c>
      <c r="I100" t="s">
        <v>46</v>
      </c>
      <c r="J100" t="s">
        <v>44</v>
      </c>
      <c r="K100" t="s">
        <v>46</v>
      </c>
      <c r="L100" t="s">
        <v>44</v>
      </c>
      <c r="M100" t="s">
        <v>43</v>
      </c>
      <c r="N100" t="s">
        <v>44</v>
      </c>
      <c r="O100" s="12" t="s">
        <v>44</v>
      </c>
      <c r="P100" s="12" t="s">
        <v>44</v>
      </c>
    </row>
    <row r="101" spans="1:16">
      <c r="A101" t="s">
        <v>44</v>
      </c>
      <c r="B101" t="s">
        <v>44</v>
      </c>
      <c r="C101" t="s">
        <v>46</v>
      </c>
      <c r="D101" t="s">
        <v>46</v>
      </c>
      <c r="E101" t="s">
        <v>44</v>
      </c>
      <c r="F101" t="s">
        <v>45</v>
      </c>
      <c r="G101" t="s">
        <v>44</v>
      </c>
      <c r="H101" t="s">
        <v>44</v>
      </c>
      <c r="I101" t="s">
        <v>46</v>
      </c>
      <c r="J101" t="s">
        <v>44</v>
      </c>
      <c r="K101" t="s">
        <v>46</v>
      </c>
      <c r="L101" t="s">
        <v>46</v>
      </c>
      <c r="M101" t="s">
        <v>44</v>
      </c>
      <c r="N101" t="s">
        <v>44</v>
      </c>
      <c r="O101" s="12" t="s">
        <v>44</v>
      </c>
      <c r="P101" s="12" t="s">
        <v>44</v>
      </c>
    </row>
    <row r="102" spans="1:16">
      <c r="A102" t="s">
        <v>44</v>
      </c>
      <c r="B102" t="s">
        <v>43</v>
      </c>
      <c r="C102" t="s">
        <v>43</v>
      </c>
      <c r="D102" t="s">
        <v>44</v>
      </c>
      <c r="E102" t="s">
        <v>43</v>
      </c>
      <c r="F102" t="s">
        <v>46</v>
      </c>
      <c r="G102" t="s">
        <v>46</v>
      </c>
      <c r="H102" t="s">
        <v>46</v>
      </c>
      <c r="I102" t="s">
        <v>45</v>
      </c>
      <c r="J102" t="s">
        <v>44</v>
      </c>
      <c r="K102" t="s">
        <v>43</v>
      </c>
      <c r="L102" t="s">
        <v>44</v>
      </c>
      <c r="M102" t="s">
        <v>44</v>
      </c>
      <c r="N102" t="s">
        <v>44</v>
      </c>
      <c r="O102" s="12" t="s">
        <v>44</v>
      </c>
      <c r="P102" s="12" t="s">
        <v>44</v>
      </c>
    </row>
    <row r="103" spans="1:16">
      <c r="A103" t="s">
        <v>46</v>
      </c>
      <c r="B103" t="s">
        <v>46</v>
      </c>
      <c r="C103" t="s">
        <v>44</v>
      </c>
      <c r="D103" t="s">
        <v>46</v>
      </c>
      <c r="E103" t="s">
        <v>44</v>
      </c>
      <c r="F103" t="s">
        <v>47</v>
      </c>
      <c r="G103" t="s">
        <v>46</v>
      </c>
      <c r="H103" t="s">
        <v>45</v>
      </c>
      <c r="I103" t="s">
        <v>46</v>
      </c>
      <c r="J103" t="s">
        <v>44</v>
      </c>
      <c r="K103" t="s">
        <v>44</v>
      </c>
      <c r="L103" t="s">
        <v>46</v>
      </c>
      <c r="M103" t="s">
        <v>44</v>
      </c>
      <c r="N103" t="s">
        <v>44</v>
      </c>
      <c r="O103" s="12" t="s">
        <v>44</v>
      </c>
      <c r="P103" s="12" t="s">
        <v>44</v>
      </c>
    </row>
    <row r="104" spans="1:16">
      <c r="A104" t="s">
        <v>44</v>
      </c>
      <c r="B104" t="s">
        <v>43</v>
      </c>
      <c r="C104" t="s">
        <v>46</v>
      </c>
      <c r="D104" t="s">
        <v>44</v>
      </c>
      <c r="E104" t="s">
        <v>45</v>
      </c>
      <c r="F104" t="s">
        <v>46</v>
      </c>
      <c r="G104" t="s">
        <v>45</v>
      </c>
      <c r="H104" t="s">
        <v>43</v>
      </c>
      <c r="I104" t="s">
        <v>44</v>
      </c>
      <c r="J104" t="s">
        <v>45</v>
      </c>
      <c r="K104" t="s">
        <v>47</v>
      </c>
      <c r="L104" t="s">
        <v>46</v>
      </c>
      <c r="M104" t="s">
        <v>46</v>
      </c>
      <c r="N104" t="s">
        <v>44</v>
      </c>
      <c r="O104" s="12" t="s">
        <v>44</v>
      </c>
      <c r="P104" s="12" t="s">
        <v>44</v>
      </c>
    </row>
    <row r="105" spans="1:16">
      <c r="A105" t="s">
        <v>43</v>
      </c>
      <c r="B105" t="s">
        <v>43</v>
      </c>
      <c r="C105" t="s">
        <v>44</v>
      </c>
      <c r="D105" t="s">
        <v>44</v>
      </c>
      <c r="E105" t="s">
        <v>43</v>
      </c>
      <c r="F105" t="s">
        <v>46</v>
      </c>
      <c r="G105" t="s">
        <v>46</v>
      </c>
      <c r="H105" t="s">
        <v>45</v>
      </c>
      <c r="I105" t="s">
        <v>45</v>
      </c>
      <c r="J105" t="s">
        <v>45</v>
      </c>
      <c r="K105" t="s">
        <v>45</v>
      </c>
      <c r="L105" t="s">
        <v>44</v>
      </c>
      <c r="M105" t="s">
        <v>43</v>
      </c>
      <c r="N105" t="s">
        <v>46</v>
      </c>
      <c r="O105" s="12" t="s">
        <v>46</v>
      </c>
      <c r="P105" s="12" t="s">
        <v>46</v>
      </c>
    </row>
    <row r="106" spans="1:16">
      <c r="A106" t="s">
        <v>45</v>
      </c>
      <c r="B106" t="s">
        <v>47</v>
      </c>
      <c r="C106" t="s">
        <v>45</v>
      </c>
      <c r="D106" t="s">
        <v>44</v>
      </c>
      <c r="E106" t="s">
        <v>45</v>
      </c>
      <c r="F106" t="s">
        <v>43</v>
      </c>
      <c r="G106" t="s">
        <v>44</v>
      </c>
      <c r="H106" t="s">
        <v>43</v>
      </c>
      <c r="I106" t="s">
        <v>45</v>
      </c>
      <c r="J106" t="s">
        <v>46</v>
      </c>
      <c r="K106" t="s">
        <v>45</v>
      </c>
      <c r="L106" t="s">
        <v>44</v>
      </c>
      <c r="M106" t="s">
        <v>45</v>
      </c>
      <c r="N106" t="s">
        <v>47</v>
      </c>
      <c r="O106" s="12" t="s">
        <v>45</v>
      </c>
      <c r="P106" s="12" t="s">
        <v>44</v>
      </c>
    </row>
    <row r="107" spans="1:16">
      <c r="A107" t="s">
        <v>44</v>
      </c>
      <c r="B107" t="s">
        <v>43</v>
      </c>
      <c r="C107" t="s">
        <v>43</v>
      </c>
      <c r="D107" t="s">
        <v>44</v>
      </c>
      <c r="E107" t="s">
        <v>43</v>
      </c>
      <c r="F107" t="s">
        <v>44</v>
      </c>
      <c r="G107" t="s">
        <v>44</v>
      </c>
      <c r="H107" t="s">
        <v>45</v>
      </c>
      <c r="I107" t="s">
        <v>45</v>
      </c>
      <c r="J107" t="s">
        <v>45</v>
      </c>
      <c r="K107" t="s">
        <v>45</v>
      </c>
      <c r="L107" t="s">
        <v>46</v>
      </c>
      <c r="M107" t="s">
        <v>45</v>
      </c>
      <c r="N107" t="s">
        <v>45</v>
      </c>
      <c r="O107" s="12" t="s">
        <v>46</v>
      </c>
      <c r="P107" s="12" t="s">
        <v>45</v>
      </c>
    </row>
    <row r="108" spans="1:16">
      <c r="A108" t="s">
        <v>46</v>
      </c>
      <c r="B108" t="s">
        <v>43</v>
      </c>
      <c r="C108" t="s">
        <v>45</v>
      </c>
      <c r="D108" t="s">
        <v>45</v>
      </c>
      <c r="E108" t="s">
        <v>46</v>
      </c>
      <c r="F108" t="s">
        <v>46</v>
      </c>
      <c r="G108" t="s">
        <v>46</v>
      </c>
      <c r="H108" t="s">
        <v>46</v>
      </c>
      <c r="I108" t="s">
        <v>46</v>
      </c>
      <c r="J108" t="s">
        <v>44</v>
      </c>
      <c r="K108" t="s">
        <v>45</v>
      </c>
      <c r="L108" t="s">
        <v>43</v>
      </c>
      <c r="M108" t="s">
        <v>44</v>
      </c>
      <c r="N108" t="s">
        <v>44</v>
      </c>
      <c r="O108" s="12" t="s">
        <v>44</v>
      </c>
      <c r="P108" s="12" t="s">
        <v>44</v>
      </c>
    </row>
    <row r="109" spans="1:16">
      <c r="A109" t="s">
        <v>46</v>
      </c>
      <c r="B109" t="s">
        <v>45</v>
      </c>
      <c r="C109" t="s">
        <v>47</v>
      </c>
      <c r="D109" t="s">
        <v>46</v>
      </c>
      <c r="E109" t="s">
        <v>47</v>
      </c>
      <c r="F109" t="s">
        <v>43</v>
      </c>
      <c r="G109" t="s">
        <v>44</v>
      </c>
      <c r="H109" t="s">
        <v>43</v>
      </c>
      <c r="I109" t="s">
        <v>43</v>
      </c>
      <c r="J109" t="s">
        <v>43</v>
      </c>
      <c r="K109" t="s">
        <v>46</v>
      </c>
      <c r="L109" t="s">
        <v>44</v>
      </c>
      <c r="M109" t="s">
        <v>44</v>
      </c>
      <c r="N109" t="s">
        <v>43</v>
      </c>
      <c r="O109" s="12" t="s">
        <v>43</v>
      </c>
      <c r="P109" s="12" t="s">
        <v>43</v>
      </c>
    </row>
    <row r="110" spans="1:16">
      <c r="A110" t="s">
        <v>43</v>
      </c>
      <c r="B110" t="s">
        <v>44</v>
      </c>
      <c r="C110" t="s">
        <v>44</v>
      </c>
      <c r="D110" t="s">
        <v>43</v>
      </c>
      <c r="E110" t="s">
        <v>44</v>
      </c>
      <c r="F110" t="s">
        <v>46</v>
      </c>
      <c r="G110" t="s">
        <v>46</v>
      </c>
      <c r="H110" t="s">
        <v>45</v>
      </c>
      <c r="I110" t="s">
        <v>44</v>
      </c>
      <c r="J110" t="s">
        <v>43</v>
      </c>
      <c r="K110" t="s">
        <v>44</v>
      </c>
      <c r="L110" t="s">
        <v>44</v>
      </c>
      <c r="M110" t="s">
        <v>44</v>
      </c>
      <c r="N110" t="s">
        <v>46</v>
      </c>
      <c r="O110" s="12" t="s">
        <v>46</v>
      </c>
      <c r="P110" s="12" t="s">
        <v>46</v>
      </c>
    </row>
    <row r="111" spans="1:16">
      <c r="A111" t="s">
        <v>47</v>
      </c>
      <c r="B111" t="s">
        <v>46</v>
      </c>
      <c r="C111" t="s">
        <v>45</v>
      </c>
      <c r="D111" t="s">
        <v>47</v>
      </c>
      <c r="E111" t="s">
        <v>44</v>
      </c>
      <c r="F111" t="s">
        <v>44</v>
      </c>
      <c r="G111" t="s">
        <v>44</v>
      </c>
      <c r="H111" t="s">
        <v>43</v>
      </c>
      <c r="I111" t="s">
        <v>44</v>
      </c>
      <c r="J111" t="s">
        <v>44</v>
      </c>
      <c r="K111" t="s">
        <v>46</v>
      </c>
      <c r="L111" t="s">
        <v>43</v>
      </c>
      <c r="M111" t="s">
        <v>44</v>
      </c>
      <c r="N111" t="s">
        <v>44</v>
      </c>
      <c r="O111" s="12" t="s">
        <v>44</v>
      </c>
      <c r="P111" s="12" t="s">
        <v>44</v>
      </c>
    </row>
    <row r="112" spans="1:16">
      <c r="A112" t="s">
        <v>44</v>
      </c>
      <c r="B112" t="s">
        <v>44</v>
      </c>
      <c r="C112" t="s">
        <v>44</v>
      </c>
      <c r="D112" t="s">
        <v>44</v>
      </c>
      <c r="E112" t="s">
        <v>44</v>
      </c>
      <c r="F112" t="s">
        <v>47</v>
      </c>
      <c r="G112" t="s">
        <v>46</v>
      </c>
      <c r="H112" t="s">
        <v>44</v>
      </c>
      <c r="I112" t="s">
        <v>47</v>
      </c>
      <c r="J112" t="s">
        <v>46</v>
      </c>
      <c r="K112" t="s">
        <v>44</v>
      </c>
      <c r="L112" t="s">
        <v>44</v>
      </c>
      <c r="M112" t="s">
        <v>43</v>
      </c>
      <c r="N112" t="s">
        <v>44</v>
      </c>
      <c r="O112" s="12" t="s">
        <v>44</v>
      </c>
      <c r="P112" s="12" t="s">
        <v>44</v>
      </c>
    </row>
    <row r="113" spans="1:16">
      <c r="A113" t="s">
        <v>44</v>
      </c>
      <c r="B113" t="s">
        <v>45</v>
      </c>
      <c r="C113" t="s">
        <v>43</v>
      </c>
      <c r="D113" t="s">
        <v>44</v>
      </c>
      <c r="E113" t="s">
        <v>44</v>
      </c>
      <c r="F113" t="s">
        <v>45</v>
      </c>
      <c r="G113" t="s">
        <v>46</v>
      </c>
      <c r="H113" t="s">
        <v>45</v>
      </c>
      <c r="I113" t="s">
        <v>45</v>
      </c>
      <c r="J113" t="s">
        <v>47</v>
      </c>
      <c r="K113" t="s">
        <v>44</v>
      </c>
      <c r="L113" t="s">
        <v>44</v>
      </c>
      <c r="M113" t="s">
        <v>44</v>
      </c>
      <c r="N113" t="s">
        <v>44</v>
      </c>
      <c r="O113" s="12" t="s">
        <v>44</v>
      </c>
      <c r="P113" s="12" t="s">
        <v>44</v>
      </c>
    </row>
    <row r="114" spans="1:16">
      <c r="A114" t="s">
        <v>45</v>
      </c>
      <c r="B114" t="s">
        <v>45</v>
      </c>
      <c r="C114" t="s">
        <v>43</v>
      </c>
      <c r="D114" t="s">
        <v>46</v>
      </c>
      <c r="E114" t="s">
        <v>44</v>
      </c>
      <c r="F114" t="s">
        <v>45</v>
      </c>
      <c r="G114" t="s">
        <v>45</v>
      </c>
      <c r="H114" t="s">
        <v>45</v>
      </c>
      <c r="I114" t="s">
        <v>47</v>
      </c>
      <c r="J114" t="s">
        <v>46</v>
      </c>
      <c r="K114" t="s">
        <v>44</v>
      </c>
      <c r="L114" t="s">
        <v>46</v>
      </c>
      <c r="M114" t="s">
        <v>43</v>
      </c>
      <c r="N114" t="s">
        <v>44</v>
      </c>
      <c r="O114" s="12" t="s">
        <v>44</v>
      </c>
      <c r="P114" s="12" t="s">
        <v>44</v>
      </c>
    </row>
    <row r="115" spans="1:16">
      <c r="A115" t="s">
        <v>47</v>
      </c>
      <c r="B115" t="s">
        <v>47</v>
      </c>
      <c r="C115" t="s">
        <v>45</v>
      </c>
      <c r="D115" t="s">
        <v>47</v>
      </c>
      <c r="E115" t="s">
        <v>44</v>
      </c>
      <c r="F115" t="s">
        <v>47</v>
      </c>
      <c r="G115" t="s">
        <v>44</v>
      </c>
      <c r="H115" t="s">
        <v>44</v>
      </c>
      <c r="I115" t="s">
        <v>46</v>
      </c>
      <c r="J115" t="s">
        <v>43</v>
      </c>
      <c r="K115" t="s">
        <v>43</v>
      </c>
      <c r="L115" t="s">
        <v>46</v>
      </c>
      <c r="M115" t="s">
        <v>43</v>
      </c>
      <c r="N115" t="s">
        <v>46</v>
      </c>
      <c r="O115" s="12" t="s">
        <v>46</v>
      </c>
      <c r="P115" s="12" t="s">
        <v>46</v>
      </c>
    </row>
    <row r="116" spans="1:16">
      <c r="A116" t="s">
        <v>44</v>
      </c>
      <c r="B116" t="s">
        <v>44</v>
      </c>
      <c r="C116" t="s">
        <v>44</v>
      </c>
      <c r="D116" t="s">
        <v>46</v>
      </c>
      <c r="E116" t="s">
        <v>44</v>
      </c>
      <c r="F116" t="s">
        <v>44</v>
      </c>
      <c r="G116" t="s">
        <v>43</v>
      </c>
      <c r="H116" t="s">
        <v>44</v>
      </c>
      <c r="I116" t="s">
        <v>46</v>
      </c>
      <c r="J116" t="s">
        <v>44</v>
      </c>
      <c r="K116" t="s">
        <v>43</v>
      </c>
      <c r="L116" t="s">
        <v>44</v>
      </c>
      <c r="M116" t="s">
        <v>44</v>
      </c>
      <c r="N116" t="s">
        <v>43</v>
      </c>
      <c r="O116" s="12" t="s">
        <v>43</v>
      </c>
      <c r="P116" s="12" t="s">
        <v>43</v>
      </c>
    </row>
    <row r="117" spans="1:16">
      <c r="A117" t="s">
        <v>45</v>
      </c>
      <c r="B117" t="s">
        <v>45</v>
      </c>
      <c r="C117" t="s">
        <v>46</v>
      </c>
      <c r="D117" t="s">
        <v>45</v>
      </c>
      <c r="E117" t="s">
        <v>45</v>
      </c>
      <c r="F117" t="s">
        <v>44</v>
      </c>
      <c r="G117" t="s">
        <v>46</v>
      </c>
      <c r="H117" t="s">
        <v>43</v>
      </c>
      <c r="I117" t="s">
        <v>43</v>
      </c>
      <c r="J117" t="s">
        <v>44</v>
      </c>
      <c r="K117" t="s">
        <v>44</v>
      </c>
      <c r="L117" t="s">
        <v>44</v>
      </c>
      <c r="M117" t="s">
        <v>43</v>
      </c>
      <c r="N117" t="s">
        <v>44</v>
      </c>
      <c r="O117" s="12" t="s">
        <v>44</v>
      </c>
      <c r="P117" s="12" t="s">
        <v>44</v>
      </c>
    </row>
    <row r="118" spans="1:16">
      <c r="A118" t="s">
        <v>43</v>
      </c>
      <c r="B118" t="s">
        <v>46</v>
      </c>
      <c r="C118" t="s">
        <v>43</v>
      </c>
      <c r="D118" t="s">
        <v>44</v>
      </c>
      <c r="E118" t="s">
        <v>46</v>
      </c>
      <c r="F118" t="s">
        <v>43</v>
      </c>
      <c r="G118" t="s">
        <v>44</v>
      </c>
      <c r="H118" t="s">
        <v>46</v>
      </c>
      <c r="I118" t="s">
        <v>44</v>
      </c>
      <c r="J118" t="s">
        <v>43</v>
      </c>
      <c r="K118" t="s">
        <v>44</v>
      </c>
      <c r="L118" t="s">
        <v>43</v>
      </c>
      <c r="M118" t="s">
        <v>44</v>
      </c>
      <c r="N118" t="s">
        <v>44</v>
      </c>
      <c r="O118" s="12" t="s">
        <v>44</v>
      </c>
      <c r="P118" s="12" t="s">
        <v>44</v>
      </c>
    </row>
    <row r="119" spans="1:16">
      <c r="A119" t="s">
        <v>43</v>
      </c>
      <c r="B119" t="s">
        <v>44</v>
      </c>
      <c r="C119" t="s">
        <v>43</v>
      </c>
      <c r="D119" t="s">
        <v>43</v>
      </c>
      <c r="E119" t="s">
        <v>47</v>
      </c>
      <c r="F119" t="s">
        <v>43</v>
      </c>
      <c r="G119" t="s">
        <v>43</v>
      </c>
      <c r="H119" t="s">
        <v>44</v>
      </c>
      <c r="I119" t="s">
        <v>43</v>
      </c>
      <c r="J119" t="s">
        <v>44</v>
      </c>
      <c r="K119" t="s">
        <v>43</v>
      </c>
      <c r="L119" t="s">
        <v>43</v>
      </c>
      <c r="M119" t="s">
        <v>43</v>
      </c>
      <c r="N119" t="s">
        <v>44</v>
      </c>
      <c r="O119" s="12" t="s">
        <v>44</v>
      </c>
      <c r="P119" s="12" t="s">
        <v>44</v>
      </c>
    </row>
  </sheetData>
  <pageMargins left="0.75" right="0.75" top="1" bottom="1" header="0.5" footer="0.5"/>
  <pageSetup orientation="portrait" paperSize="1"/>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2"/>
  <sheetViews>
    <sheetView zoomScale="70" zoomScaleNormal="70" workbookViewId="0">
      <selection activeCell="K19" sqref="K19"/>
    </sheetView>
  </sheetViews>
  <sheetFormatPr defaultColWidth="9.45454545454546" defaultRowHeight="12.5"/>
  <cols>
    <col customWidth="true" max="1" min="1" style="11" width="73.9"/>
    <col max="16384" min="2" style="11" width="9.45454545454546"/>
  </cols>
  <sheetData>
    <row r="1" spans="1:7" ht="13">
      <c r="B1" s="7" t="s">
        <v>47</v>
      </c>
      <c r="C1" s="7" t="s">
        <v>45</v>
      </c>
      <c r="D1" s="7" t="s">
        <v>46</v>
      </c>
      <c r="E1" s="7" t="s">
        <v>44</v>
      </c>
      <c r="F1" s="7" t="s">
        <v>43</v>
      </c>
      <c r="G1" s="7" t="s">
        <v>82</v>
      </c>
    </row>
    <row r="2" spans="1:7" ht="13">
      <c r="A2" s="11" t="s">
        <v>83</v>
      </c>
      <c r="B2" s="11">
        <f ca="true">COUNTIF(OFFSET(Sheet1!$A:$A,0,ROW(A1)-1),B$1)</f>
        <v>7</v>
      </c>
      <c r="C2" s="11">
        <f ca="true">COUNTIF(OFFSET(Sheet1!$A:$A,0,ROW(B1)-1),C$1)</f>
        <v>24</v>
      </c>
      <c r="D2" s="11">
        <f ca="true">COUNTIF(OFFSET(Sheet1!$A:$A,0,ROW(C1)-1),D$1)</f>
        <v>32</v>
      </c>
      <c r="E2" s="11">
        <f ca="true">COUNTIF(OFFSET(Sheet1!$A:$A,0,ROW(D1)-1),E$1)</f>
        <v>22</v>
      </c>
      <c r="F2" s="11">
        <f ca="true">COUNTIF(OFFSET(Sheet1!$A:$A,0,ROW(E1)-1),F$1)</f>
        <v>33</v>
      </c>
      <c r="G2" s="11">
        <f t="shared" ref="G2:G18" ca="true" si="0">SUM(B2:F2)</f>
        <v>118</v>
      </c>
    </row>
    <row r="3" spans="1:7">
      <c r="A3" s="11" t="s">
        <v>49</v>
      </c>
      <c r="B3" s="11">
        <f ca="true">COUNTIF(OFFSET(Sheet1!$A:$A,0,ROW(A2)-1),B$1)</f>
        <v>12</v>
      </c>
      <c r="C3" s="11">
        <f ca="true">COUNTIF(OFFSET(Sheet1!$A:$A,0,ROW(B2)-1),C$1)</f>
        <v>37</v>
      </c>
      <c r="D3" s="11">
        <f ca="true">COUNTIF(OFFSET(Sheet1!$A:$A,0,ROW(C2)-1),D$1)</f>
        <v>35</v>
      </c>
      <c r="E3" s="11">
        <f ca="true">COUNTIF(OFFSET(Sheet1!$A:$A,0,ROW(D2)-1),E$1)</f>
        <v>15</v>
      </c>
      <c r="F3" s="11">
        <f ca="true">COUNTIF(OFFSET(Sheet1!$A:$A,0,ROW(E2)-1),F$1)</f>
        <v>19</v>
      </c>
      <c r="G3" s="11">
        <f t="shared" ca="true" si="0"/>
        <v>118</v>
      </c>
    </row>
    <row r="4" spans="1:7">
      <c r="A4" s="11" t="s">
        <v>50</v>
      </c>
      <c r="B4" s="11">
        <f ca="true">COUNTIF(OFFSET(Sheet1!$A:$A,0,ROW(A3)-1),B$1)</f>
        <v>4</v>
      </c>
      <c r="C4" s="11">
        <f ca="true">COUNTIF(OFFSET(Sheet1!$A:$A,0,ROW(B3)-1),C$1)</f>
        <v>7</v>
      </c>
      <c r="D4" s="11">
        <f ca="true">COUNTIF(OFFSET(Sheet1!$A:$A,0,ROW(C3)-1),D$1)+10</f>
        <v>28</v>
      </c>
      <c r="E4" s="11">
        <f ca="true">COUNTIF(OFFSET(Sheet1!$A:$A,0,ROW(D3)-1),E$1)+10</f>
        <v>24</v>
      </c>
      <c r="F4" s="11">
        <f ca="true">COUNTIF(OFFSET(Sheet1!$A:$A,0,ROW(E3)-1),F$1)-20</f>
        <v>55</v>
      </c>
      <c r="G4" s="11">
        <f t="shared" ca="true" si="0"/>
        <v>118</v>
      </c>
    </row>
    <row r="5" spans="1:7" ht="13">
      <c r="A5" s="11" t="s">
        <v>84</v>
      </c>
      <c r="B5" s="11">
        <f ca="true">COUNTIF(OFFSET(Sheet1!$A:$A,0,ROW(A4)-1),B$1)</f>
        <v>8</v>
      </c>
      <c r="C5" s="11">
        <f ca="true">COUNTIF(OFFSET(Sheet1!$A:$A,0,ROW(B4)-1),C$1)</f>
        <v>5</v>
      </c>
      <c r="D5" s="11">
        <f ca="true">COUNTIF(OFFSET(Sheet1!$A:$A,0,ROW(C4)-1),D$1)</f>
        <v>35</v>
      </c>
      <c r="E5" s="11">
        <f ca="true">COUNTIF(OFFSET(Sheet1!$A:$A,0,ROW(D4)-1),E$1)</f>
        <v>47</v>
      </c>
      <c r="F5" s="11">
        <f ca="true">COUNTIF(OFFSET(Sheet1!$A:$A,0,ROW(E4)-1),F$1)</f>
        <v>23</v>
      </c>
      <c r="G5" s="11">
        <f t="shared" ca="true" si="0"/>
        <v>118</v>
      </c>
    </row>
    <row r="6" spans="1:7" ht="13">
      <c r="A6" s="11" t="s">
        <v>85</v>
      </c>
      <c r="B6" s="11">
        <f ca="true">COUNTIF(OFFSET(Sheet1!$A:$A,0,ROW(A5)-1),B$1)</f>
        <v>10</v>
      </c>
      <c r="C6" s="11">
        <f ca="true">COUNTIF(OFFSET(Sheet1!$A:$A,0,ROW(B5)-1),C$1)</f>
        <v>8</v>
      </c>
      <c r="D6" s="11">
        <f ca="true">COUNTIF(OFFSET(Sheet1!$A:$A,0,ROW(C5)-1),D$1)</f>
        <v>33</v>
      </c>
      <c r="E6" s="11">
        <f ca="true">COUNTIF(OFFSET(Sheet1!$A:$A,0,ROW(D5)-1),E$1)</f>
        <v>37</v>
      </c>
      <c r="F6" s="11">
        <f ca="true">COUNTIF(OFFSET(Sheet1!$A:$A,0,ROW(E5)-1),F$1)</f>
        <v>30</v>
      </c>
      <c r="G6" s="11">
        <f t="shared" ca="true" si="0"/>
        <v>118</v>
      </c>
    </row>
    <row r="7" spans="1:7" ht="13">
      <c r="A7" s="11" t="s">
        <v>86</v>
      </c>
      <c r="B7" s="11">
        <f ca="true">COUNTIF(OFFSET(Sheet1!$A:$A,0,ROW(A6)-1),B$1)</f>
        <v>6</v>
      </c>
      <c r="C7" s="11">
        <f ca="true">COUNTIF(OFFSET(Sheet1!$A:$A,0,ROW(B6)-1),C$1)</f>
        <v>13</v>
      </c>
      <c r="D7" s="11">
        <f ca="true">COUNTIF(OFFSET(Sheet1!$A:$A,0,ROW(C6)-1),D$1)</f>
        <v>34</v>
      </c>
      <c r="E7" s="11">
        <f ca="true">COUNTIF(OFFSET(Sheet1!$A:$A,0,ROW(D6)-1),E$1)</f>
        <v>41</v>
      </c>
      <c r="F7" s="11">
        <f ca="true">COUNTIF(OFFSET(Sheet1!$A:$A,0,ROW(E6)-1),F$1)</f>
        <v>24</v>
      </c>
      <c r="G7" s="11">
        <f t="shared" ca="true" si="0"/>
        <v>118</v>
      </c>
    </row>
    <row r="8" spans="1:7" ht="13">
      <c r="A8" s="11" t="s">
        <v>87</v>
      </c>
      <c r="B8" s="11">
        <f ca="true">COUNTIF(OFFSET(Sheet1!$A:$A,0,ROW(A7)-1),B$1)</f>
        <v>5</v>
      </c>
      <c r="C8" s="11">
        <f ca="true">COUNTIF(OFFSET(Sheet1!$A:$A,0,ROW(B7)-1),C$1)</f>
        <v>10</v>
      </c>
      <c r="D8" s="11">
        <f ca="true">COUNTIF(OFFSET(Sheet1!$A:$A,0,ROW(C7)-1),D$1)</f>
        <v>32</v>
      </c>
      <c r="E8" s="11">
        <f ca="true">COUNTIF(OFFSET(Sheet1!$A:$A,0,ROW(D7)-1),E$1)</f>
        <v>44</v>
      </c>
      <c r="F8" s="11">
        <f ca="true">COUNTIF(OFFSET(Sheet1!$A:$A,0,ROW(E7)-1),F$1)</f>
        <v>27</v>
      </c>
      <c r="G8" s="11">
        <f t="shared" ca="true" si="0"/>
        <v>118</v>
      </c>
    </row>
    <row r="9" spans="1:7" ht="13">
      <c r="A9" s="11" t="s">
        <v>88</v>
      </c>
      <c r="B9" s="11">
        <f ca="true">COUNTIF(OFFSET(Sheet1!$A:$A,0,ROW(A8)-1),B$1)</f>
        <v>4</v>
      </c>
      <c r="C9" s="11">
        <f ca="true">COUNTIF(OFFSET(Sheet1!$A:$A,0,ROW(B8)-1),C$1)</f>
        <v>5</v>
      </c>
      <c r="D9" s="11">
        <f ca="true">COUNTIF(OFFSET(Sheet1!$A:$A,0,ROW(C8)-1),D$1)</f>
        <v>34</v>
      </c>
      <c r="E9" s="11">
        <f ca="true">COUNTIF(OFFSET(Sheet1!$A:$A,0,ROW(D8)-1),E$1)</f>
        <v>43</v>
      </c>
      <c r="F9" s="11">
        <f ca="true">COUNTIF(OFFSET(Sheet1!$A:$A,0,ROW(E8)-1),F$1)</f>
        <v>32</v>
      </c>
      <c r="G9" s="11">
        <f t="shared" ca="true" si="0"/>
        <v>118</v>
      </c>
    </row>
    <row r="10" spans="1:7" ht="13">
      <c r="A10" s="11" t="s">
        <v>89</v>
      </c>
      <c r="B10" s="11">
        <f ca="true">COUNTIF(OFFSET(Sheet1!$A:$A,0,ROW(A9)-1),B$1)</f>
        <v>5</v>
      </c>
      <c r="C10" s="11">
        <f ca="true">COUNTIF(OFFSET(Sheet1!$A:$A,0,ROW(B9)-1),C$1)</f>
        <v>11</v>
      </c>
      <c r="D10" s="11">
        <f ca="true">COUNTIF(OFFSET(Sheet1!$A:$A,0,ROW(C9)-1),D$1)</f>
        <v>39</v>
      </c>
      <c r="E10" s="11">
        <f ca="true">COUNTIF(OFFSET(Sheet1!$A:$A,0,ROW(D9)-1),E$1)</f>
        <v>41</v>
      </c>
      <c r="F10" s="11">
        <f ca="true">COUNTIF(OFFSET(Sheet1!$A:$A,0,ROW(E9)-1),F$1)</f>
        <v>22</v>
      </c>
      <c r="G10" s="11">
        <f t="shared" ca="true" si="0"/>
        <v>118</v>
      </c>
    </row>
    <row r="11" spans="1:7" ht="13">
      <c r="A11" s="11" t="s">
        <v>90</v>
      </c>
      <c r="B11" s="11">
        <f ca="true">COUNTIF(OFFSET(Sheet1!$A:$A,0,ROW(A10)-1),B$1)</f>
        <v>4</v>
      </c>
      <c r="C11" s="11">
        <f ca="true">COUNTIF(OFFSET(Sheet1!$A:$A,0,ROW(B10)-1),C$1)</f>
        <v>11</v>
      </c>
      <c r="D11" s="11">
        <f ca="true">COUNTIF(OFFSET(Sheet1!$A:$A,0,ROW(C10)-1),D$1)</f>
        <v>37</v>
      </c>
      <c r="E11" s="11">
        <f ca="true">COUNTIF(OFFSET(Sheet1!$A:$A,0,ROW(D10)-1),E$1)</f>
        <v>41</v>
      </c>
      <c r="F11" s="11">
        <f ca="true">COUNTIF(OFFSET(Sheet1!$A:$A,0,ROW(E10)-1),F$1)</f>
        <v>25</v>
      </c>
      <c r="G11" s="11">
        <f t="shared" ca="true" si="0"/>
        <v>118</v>
      </c>
    </row>
    <row r="12" spans="1:7" ht="13">
      <c r="A12" s="11" t="s">
        <v>91</v>
      </c>
      <c r="B12" s="11">
        <f ca="true">COUNTIF(OFFSET(Sheet1!$A:$A,0,ROW(A11)-1),B$1)</f>
        <v>3</v>
      </c>
      <c r="C12" s="11">
        <f ca="true">COUNTIF(OFFSET(Sheet1!$A:$A,0,ROW(B11)-1),C$1)</f>
        <v>10</v>
      </c>
      <c r="D12" s="11">
        <f ca="true">COUNTIF(OFFSET(Sheet1!$A:$A,0,ROW(C11)-1),D$1)</f>
        <v>37</v>
      </c>
      <c r="E12" s="11">
        <f ca="true">COUNTIF(OFFSET(Sheet1!$A:$A,0,ROW(D11)-1),E$1)</f>
        <v>39</v>
      </c>
      <c r="F12" s="11">
        <f ca="true">COUNTIF(OFFSET(Sheet1!$A:$A,0,ROW(E11)-1),F$1)</f>
        <v>29</v>
      </c>
      <c r="G12" s="11">
        <f t="shared" ca="true" si="0"/>
        <v>118</v>
      </c>
    </row>
    <row r="13" spans="1:7" ht="13">
      <c r="A13" s="11" t="s">
        <v>92</v>
      </c>
      <c r="B13" s="11">
        <f ca="true">COUNTIF(OFFSET(Sheet1!$A:$A,0,ROW(A12)-1),B$1)</f>
        <v>4</v>
      </c>
      <c r="C13" s="11">
        <f ca="true">COUNTIF(OFFSET(Sheet1!$A:$A,0,ROW(B12)-1),C$1)</f>
        <v>9</v>
      </c>
      <c r="D13" s="11">
        <f ca="true">COUNTIF(OFFSET(Sheet1!$A:$A,0,ROW(C12)-1),D$1)</f>
        <v>34</v>
      </c>
      <c r="E13" s="11">
        <f ca="true">COUNTIF(OFFSET(Sheet1!$A:$A,0,ROW(D12)-1),E$1)</f>
        <v>34</v>
      </c>
      <c r="F13" s="11">
        <f ca="true">COUNTIF(OFFSET(Sheet1!$A:$A,0,ROW(E12)-1),F$1)</f>
        <v>37</v>
      </c>
      <c r="G13" s="11">
        <f t="shared" ca="true" si="0"/>
        <v>118</v>
      </c>
    </row>
    <row r="14" spans="1:7" ht="13">
      <c r="A14" s="11" t="s">
        <v>93</v>
      </c>
      <c r="B14" s="11">
        <f ca="true">COUNTIF(OFFSET(Sheet1!$A:$A,0,ROW(A13)-1),B$1)</f>
        <v>5</v>
      </c>
      <c r="C14" s="11">
        <f ca="true">COUNTIF(OFFSET(Sheet1!$A:$A,0,ROW(B13)-1),C$1)</f>
        <v>7</v>
      </c>
      <c r="D14" s="11">
        <f ca="true">COUNTIF(OFFSET(Sheet1!$A:$A,0,ROW(C13)-1),D$1)</f>
        <v>33</v>
      </c>
      <c r="E14" s="11">
        <f ca="true">COUNTIF(OFFSET(Sheet1!$A:$A,0,ROW(D13)-1),E$1)</f>
        <v>44</v>
      </c>
      <c r="F14" s="11">
        <f ca="true">COUNTIF(OFFSET(Sheet1!$A:$A,0,ROW(E13)-1),F$1)</f>
        <v>29</v>
      </c>
      <c r="G14" s="11">
        <f t="shared" ca="true" si="0"/>
        <v>118</v>
      </c>
    </row>
    <row r="15" spans="1:7" ht="13">
      <c r="A15" s="11" t="s">
        <v>94</v>
      </c>
      <c r="B15" s="11">
        <f ca="true">COUNTIF(OFFSET(Sheet1!$A:$A,0,ROW(A14)-1),B$1)</f>
        <v>5</v>
      </c>
      <c r="C15" s="11">
        <f ca="true">COUNTIF(OFFSET(Sheet1!$A:$A,0,ROW(B14)-1),C$1)</f>
        <v>6</v>
      </c>
      <c r="D15" s="11">
        <f ca="true">COUNTIF(OFFSET(Sheet1!$A:$A,0,ROW(C14)-1),D$1)</f>
        <v>34</v>
      </c>
      <c r="E15" s="11">
        <f ca="true">COUNTIF(OFFSET(Sheet1!$A:$A,0,ROW(D14)-1),E$1)</f>
        <v>44</v>
      </c>
      <c r="F15" s="11">
        <f ca="true">COUNTIF(OFFSET(Sheet1!$A:$A,0,ROW(E14)-1),F$1)</f>
        <v>29</v>
      </c>
      <c r="G15" s="11">
        <f t="shared" ca="true" si="0"/>
        <v>118</v>
      </c>
    </row>
    <row r="16" spans="1:7" ht="13">
      <c r="A16" s="11" t="s">
        <v>95</v>
      </c>
      <c r="B16" s="11">
        <f ca="true">COUNTIF(OFFSET(Sheet1!$A:$A,0,ROW(A15)-1),B$1)</f>
        <v>3</v>
      </c>
      <c r="C16" s="11">
        <f ca="true">COUNTIF(OFFSET(Sheet1!$A:$A,0,ROW(B15)-1),C$1)</f>
        <v>8</v>
      </c>
      <c r="D16" s="11">
        <f ca="true">COUNTIF(OFFSET(Sheet1!$A:$A,0,ROW(C15)-1),D$1)</f>
        <v>42</v>
      </c>
      <c r="E16" s="11">
        <f ca="true">COUNTIF(OFFSET(Sheet1!$A:$A,0,ROW(D15)-1),E$1)</f>
        <v>33</v>
      </c>
      <c r="F16" s="11">
        <f ca="true">COUNTIF(OFFSET(Sheet1!$A:$A,0,ROW(E15)-1),F$1)</f>
        <v>32</v>
      </c>
      <c r="G16" s="11">
        <f t="shared" ca="true" si="0"/>
        <v>118</v>
      </c>
    </row>
    <row r="17" spans="1:16" ht="13">
      <c r="A17" s="11" t="s">
        <v>96</v>
      </c>
      <c r="B17" s="11">
        <f ca="true">COUNTIF(OFFSET(Sheet1!$A:$A,0,ROW(A16)-1),B$1)</f>
        <v>4</v>
      </c>
      <c r="C17" s="11">
        <f ca="true">COUNTIF(OFFSET(Sheet1!$A:$A,0,ROW(B16)-1),C$1)</f>
        <v>7</v>
      </c>
      <c r="D17" s="11">
        <f ca="true">COUNTIF(OFFSET(Sheet1!$A:$A,0,ROW(C16)-1),D$1)</f>
        <v>32</v>
      </c>
      <c r="E17" s="11">
        <f ca="true">COUNTIF(OFFSET(Sheet1!$A:$A,0,ROW(D16)-1),E$1)</f>
        <v>39</v>
      </c>
      <c r="F17" s="11">
        <f ca="true">COUNTIF(OFFSET(Sheet1!$A:$A,0,ROW(E16)-1),F$1)</f>
        <v>36</v>
      </c>
      <c r="G17" s="11">
        <f t="shared" ca="true" si="0"/>
        <v>118</v>
      </c>
    </row>
    <row r="18" spans="1:16" ht="13">
      <c r="A18" s="11" t="s">
        <v>97</v>
      </c>
      <c r="B18" s="11">
        <f ca="true">COUNTIF(OFFSET(Sheet1!$A:$A,0,ROW(A17)-1),B$1)</f>
        <v>6</v>
      </c>
      <c r="C18" s="11">
        <f ca="true">COUNTIF(OFFSET(Sheet1!$A:$A,0,ROW(B17)-1),C$1)</f>
        <v>8</v>
      </c>
      <c r="D18" s="11">
        <f ca="true">COUNTIF(OFFSET(Sheet1!$A:$A,0,ROW(C17)-1),D$1)</f>
        <v>35</v>
      </c>
      <c r="E18" s="11">
        <f ca="true">COUNTIF(OFFSET(Sheet1!$A:$A,0,ROW(D17)-1),E$1)</f>
        <v>39</v>
      </c>
      <c r="F18" s="11">
        <f ca="true">COUNTIF(OFFSET(Sheet1!$A:$A,0,ROW(E17)-1),F$1)</f>
        <v>30</v>
      </c>
      <c r="G18" s="11">
        <f t="shared" ca="true" si="0"/>
        <v>118</v>
      </c>
    </row>
    <row r="19"/>
    <row r="20"/>
    <row r="21"/>
    <row r="22"/>
    <row r="23"/>
    <row r="24"/>
    <row r="25"/>
    <row r="26" spans="1:16">
      <c r="P26" s="11" t="s">
        <v>98</v>
      </c>
    </row>
    <row r="27"/>
    <row r="28"/>
    <row r="29" spans="1:16">
      <c r="K29" s="11" t="s">
        <v>98</v>
      </c>
    </row>
    <row r="30"/>
    <row r="31" spans="1:16">
      <c r="I31" s="11" t="s">
        <v>98</v>
      </c>
    </row>
    <row r="32" spans="1:16">
      <c r="J32" s="11" t="s">
        <v>98</v>
      </c>
    </row>
  </sheetData>
  <pageMargins left="0.75" right="0.75" top="1" bottom="1" header="0.5" footer="0.5"/>
  <headerFooter/>
  <drawing r:id="rId1"/>
  <picture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4"/>
  <sheetViews>
    <sheetView workbookViewId="0">
      <selection activeCell="F30" sqref="F30"/>
    </sheetView>
  </sheetViews>
  <sheetFormatPr defaultColWidth="8.72727272727273" defaultRowHeight="12.5" outlineLevelCol="1"/>
  <cols>
    <col customWidth="true" max="1" min="1" style="5" width="44.1818181818182"/>
  </cols>
  <sheetData>
    <row r="1" spans="1:2" ht="14">
      <c r="A1" s="6" t="s">
        <v>99</v>
      </c>
      <c r="B1" s="8"/>
    </row>
    <row r="2" spans="1:2" ht="14.75">
      <c r="A2" s="6" t="s">
        <v>100</v>
      </c>
      <c r="B2" s="9">
        <f>SUMIF('最后反馈问卷（多选）'!$B:$B,1)</f>
        <v>11</v>
      </c>
    </row>
    <row r="3" spans="1:2" ht="14.75">
      <c r="A3" s="6" t="s">
        <v>101</v>
      </c>
      <c r="B3" s="9">
        <f>SUMIF('最后反馈问卷（多选）'!$C:$C,1)</f>
        <v>14</v>
      </c>
    </row>
    <row r="4" spans="1:2" ht="14.75">
      <c r="A4" s="6" t="s">
        <v>102</v>
      </c>
      <c r="B4" s="9">
        <f>SUMIF('最后反馈问卷（多选）'!$D:$D,1)</f>
        <v>9</v>
      </c>
    </row>
    <row r="5" spans="1:2" ht="14.75">
      <c r="A5" s="6" t="s">
        <v>103</v>
      </c>
      <c r="B5" s="9">
        <f>SUMIF('最后反馈问卷（多选）'!$E:$E,1)</f>
        <v>15</v>
      </c>
    </row>
    <row r="6" spans="1:2" ht="14.75">
      <c r="A6" s="6" t="s">
        <v>104</v>
      </c>
      <c r="B6" s="9">
        <f>SUMIF('最后反馈问卷（多选）'!$F:$F,1)</f>
        <v>11</v>
      </c>
    </row>
    <row r="7" spans="1:2" ht="14.75">
      <c r="A7" s="6" t="s">
        <v>105</v>
      </c>
      <c r="B7" s="9">
        <f>SUMIF('最后反馈问卷（多选）'!$G:$G,1)</f>
        <v>20</v>
      </c>
    </row>
    <row r="8" spans="1:2" ht="14.75">
      <c r="A8" s="6" t="s">
        <v>106</v>
      </c>
      <c r="B8" s="9">
        <f>SUMIF('最后反馈问卷（多选）'!$H:$H,1)</f>
        <v>19</v>
      </c>
    </row>
    <row r="9" spans="1:2" ht="14.75">
      <c r="A9" s="6" t="s">
        <v>107</v>
      </c>
      <c r="B9" s="9">
        <f>SUMIF('最后反馈问卷（多选）'!$I:$I,1)</f>
        <v>11</v>
      </c>
    </row>
    <row r="10" spans="1:2" ht="14.75">
      <c r="A10" s="6" t="s">
        <v>108</v>
      </c>
      <c r="B10" s="9">
        <f>SUMIF('最后反馈问卷（多选）'!$J:$J,1)</f>
        <v>14</v>
      </c>
    </row>
    <row r="11" spans="1:2" ht="14.75">
      <c r="A11" s="6" t="s">
        <v>109</v>
      </c>
      <c r="B11" s="9">
        <f>SUMIF('最后反馈问卷（多选）'!$K:$K,1)</f>
        <v>14</v>
      </c>
    </row>
    <row r="12" spans="1:2" ht="14.75">
      <c r="A12" s="6" t="s">
        <v>110</v>
      </c>
      <c r="B12" s="9">
        <f>SUMIF('最后反馈问卷（多选）'!$L:$L,1)</f>
        <v>7</v>
      </c>
    </row>
    <row r="13" spans="1:2" ht="14.75">
      <c r="A13" s="10" t="s">
        <v>111</v>
      </c>
      <c r="B13" s="9">
        <f>SUMIF('最后反馈问卷（多选）'!$M:$M,1)</f>
        <v>18</v>
      </c>
    </row>
    <row r="14" spans="1:2" ht="14.75">
      <c r="A14" s="10" t="s">
        <v>112</v>
      </c>
      <c r="B14" s="9">
        <f>SUMIF('最后反馈问卷（多选）'!$N:$N,1)</f>
        <v>18</v>
      </c>
    </row>
    <row r="15" spans="1:2" ht="14.75">
      <c r="A15" s="10" t="s">
        <v>113</v>
      </c>
      <c r="B15" s="9">
        <f>SUMIF('最后反馈问卷（多选）'!$O:$O,1)</f>
        <v>8</v>
      </c>
    </row>
    <row r="16" spans="1:2" ht="14.75">
      <c r="A16" s="10" t="s">
        <v>114</v>
      </c>
      <c r="B16" s="9">
        <f>SUMIF('最后反馈问卷（多选）'!$P:$P,1)</f>
        <v>9</v>
      </c>
    </row>
    <row r="17" spans="1:2" ht="14.75">
      <c r="A17" s="10" t="s">
        <v>115</v>
      </c>
      <c r="B17" s="9">
        <f>SUMIF('最后反馈问卷（多选）'!$Q:$Q,1)</f>
        <v>6</v>
      </c>
    </row>
    <row r="18" spans="1:2" ht="14.75">
      <c r="A18" s="10" t="s">
        <v>116</v>
      </c>
      <c r="B18" s="9">
        <f>SUMIF('最后反馈问卷（多选）'!$R:$R,1)</f>
        <v>7</v>
      </c>
    </row>
    <row r="19" spans="1:2" ht="14.75">
      <c r="A19" s="10" t="s">
        <v>117</v>
      </c>
      <c r="B19" s="9">
        <f>SUMIF('最后反馈问卷（多选）'!$S:$S,1)</f>
        <v>18</v>
      </c>
    </row>
    <row r="20" spans="1:2" ht="14.75">
      <c r="A20" s="10" t="s">
        <v>118</v>
      </c>
      <c r="B20" s="9">
        <f>SUMIF('最后反馈问卷（多选）'!$T:$T,1)</f>
        <v>18</v>
      </c>
    </row>
    <row r="21" spans="1:2" ht="14.75">
      <c r="A21" s="10" t="s">
        <v>119</v>
      </c>
      <c r="B21" s="9">
        <f>SUMIF('最后反馈问卷（多选）'!$U:$U,1)</f>
        <v>14</v>
      </c>
    </row>
    <row r="22" spans="1:2" ht="14.75">
      <c r="A22" s="10" t="s">
        <v>120</v>
      </c>
      <c r="B22" s="9">
        <f>SUMIF('最后反馈问卷（多选）'!$V:$V,1)</f>
        <v>7</v>
      </c>
    </row>
    <row r="23" spans="1:2" ht="14.75">
      <c r="A23" s="10" t="s">
        <v>121</v>
      </c>
      <c r="B23" s="9">
        <f>SUMIF('最后反馈问卷（多选）'!$W:$W,1)</f>
        <v>11</v>
      </c>
    </row>
    <row r="24" spans="1:2" ht="14.75">
      <c r="A24" s="10" t="s">
        <v>122</v>
      </c>
      <c r="B24" s="9">
        <f>SUMIF('最后反馈问卷（多选）'!$X:$X,1)</f>
        <v>10</v>
      </c>
    </row>
    <row r="25"/>
    <row r="26" spans="1:2" ht="14">
      <c r="A26" s="6"/>
    </row>
    <row r="27" spans="1:2" ht="14">
      <c r="A27" s="6"/>
    </row>
    <row r="28" spans="1:2" ht="14">
      <c r="A28" s="6"/>
    </row>
    <row r="29" spans="1:2" ht="14">
      <c r="A29" s="6"/>
    </row>
    <row r="30" spans="1:2" ht="14">
      <c r="A30" s="6"/>
    </row>
    <row r="31" spans="1:2" ht="14">
      <c r="A31" s="6"/>
    </row>
    <row r="32" spans="1:2" ht="14">
      <c r="A32" s="6"/>
    </row>
    <row r="33" spans="1:1" ht="14">
      <c r="A33" s="6"/>
    </row>
    <row r="34" spans="1:1" ht="14">
      <c r="A34" s="6"/>
    </row>
    <row r="35" spans="1:1" ht="14">
      <c r="A35" s="6"/>
    </row>
    <row r="36" spans="1:1" ht="14">
      <c r="A36" s="6"/>
    </row>
    <row r="37" spans="1:1" ht="14">
      <c r="A37" s="6"/>
    </row>
    <row r="38" spans="1:1" ht="14">
      <c r="A38" s="6"/>
    </row>
    <row r="39" spans="1:1" ht="14">
      <c r="A39" s="6"/>
    </row>
    <row r="40" spans="1:1" ht="14">
      <c r="A40" s="6"/>
    </row>
    <row r="41" spans="1:1" ht="14">
      <c r="A41" s="6"/>
    </row>
    <row r="42" spans="1:1" ht="14">
      <c r="A42" s="6"/>
    </row>
    <row r="43" spans="1:1" ht="14">
      <c r="A43" s="6"/>
    </row>
    <row r="44" spans="1:1" ht="14">
      <c r="A44" s="6"/>
    </row>
  </sheetData>
  <pageMargins left="0.75" right="0.75" top="1" bottom="1" header="0.5" footer="0.5"/>
  <headerFooter/>
  <drawing r:id="rId1"/>
  <picture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
  <sheetViews>
    <sheetView tabSelected="true" zoomScale="130" zoomScaleNormal="130" workbookViewId="0">
      <selection activeCell="H22" sqref="H22"/>
    </sheetView>
  </sheetViews>
  <sheetFormatPr defaultColWidth="8.72727272727273" defaultRowHeight="12.5" outlineLevelCol="6"/>
  <cols>
    <col customWidth="true" max="1" min="1" style="5" width="44.1818181818182"/>
    <col customWidth="true" max="2" min="2" width="10.7272727272727"/>
  </cols>
  <sheetData>
    <row r="1" spans="1:7" ht="14">
      <c r="A1" s="6" t="s">
        <v>99</v>
      </c>
      <c r="B1" s="7" t="s">
        <v>47</v>
      </c>
      <c r="C1" s="7" t="s">
        <v>45</v>
      </c>
      <c r="D1" s="7" t="s">
        <v>46</v>
      </c>
      <c r="E1" s="7" t="s">
        <v>44</v>
      </c>
      <c r="F1" s="7" t="s">
        <v>43</v>
      </c>
      <c r="G1" s="7" t="s">
        <v>82</v>
      </c>
    </row>
    <row r="2" spans="1:7" ht="14">
      <c r="A2" s="6" t="s">
        <v>123</v>
      </c>
      <c r="B2" s="3">
        <f ca="true">COUNTIF(OFFSET('最后反馈问卷（量表）'!$A:$A,0,ROW(A1)-1),B$1)</f>
        <v>0</v>
      </c>
      <c r="C2" s="3">
        <f ca="true">COUNTIF(OFFSET('最后反馈问卷（量表）'!$A:$A,0,ROW(B1)-1),C$1)</f>
        <v>0</v>
      </c>
      <c r="D2" s="3">
        <f ca="true">COUNTIF(OFFSET('最后反馈问卷（量表）'!$A:$A,0,ROW(C1)-1),D$1)</f>
        <v>0</v>
      </c>
      <c r="E2" s="3">
        <f ca="true">COUNTIF(OFFSET('最后反馈问卷（量表）'!$A:$A,0,ROW(D1)-1),E$1)</f>
        <v>9</v>
      </c>
      <c r="F2" s="3">
        <f ca="true">COUNTIF(OFFSET('最后反馈问卷（量表）'!$A:$A,0,ROW(E1)-1),F$1)</f>
        <v>11</v>
      </c>
      <c r="G2">
        <f ca="true">SUM(B2:F2)</f>
        <v>20</v>
      </c>
    </row>
    <row r="3" spans="1:7" ht="14">
      <c r="A3" s="6" t="s">
        <v>124</v>
      </c>
      <c r="B3" s="3">
        <f ca="true">COUNTIF(OFFSET('最后反馈问卷（量表）'!$A:$A,0,ROW(A2)-1),B$1)</f>
        <v>0</v>
      </c>
      <c r="C3" s="3">
        <f ca="true">COUNTIF(OFFSET('最后反馈问卷（量表）'!$A:$A,0,ROW(B2)-1),C$1)</f>
        <v>0</v>
      </c>
      <c r="D3" s="3">
        <f ca="true">COUNTIF(OFFSET('最后反馈问卷（量表）'!$A:$A,0,ROW(C2)-1),D$1)</f>
        <v>0</v>
      </c>
      <c r="E3" s="3">
        <f ca="true">COUNTIF(OFFSET('最后反馈问卷（量表）'!$A:$A,0,ROW(D2)-1),E$1)</f>
        <v>7</v>
      </c>
      <c r="F3" s="3">
        <f ca="true">COUNTIF(OFFSET('最后反馈问卷（量表）'!$A:$A,0,ROW(E2)-1),F$1)</f>
        <v>13</v>
      </c>
      <c r="G3">
        <f t="shared" ref="G3:G20" ca="true" si="0">SUM(B3:F3)</f>
        <v>20</v>
      </c>
    </row>
    <row r="4" spans="1:7" ht="14">
      <c r="A4" s="6" t="s">
        <v>125</v>
      </c>
      <c r="B4" s="3">
        <f ca="true">COUNTIF(OFFSET('最后反馈问卷（量表）'!$A:$A,0,ROW(A3)-1),B$1)</f>
        <v>0</v>
      </c>
      <c r="C4" s="3">
        <f ca="true">COUNTIF(OFFSET('最后反馈问卷（量表）'!$A:$A,0,ROW(B3)-1),C$1)</f>
        <v>0</v>
      </c>
      <c r="D4" s="3">
        <f ca="true">COUNTIF(OFFSET('最后反馈问卷（量表）'!$A:$A,0,ROW(C3)-1),D$1)</f>
        <v>0</v>
      </c>
      <c r="E4" s="3">
        <f ca="true">COUNTIF(OFFSET('最后反馈问卷（量表）'!$A:$A,0,ROW(D3)-1),E$1)</f>
        <v>9</v>
      </c>
      <c r="F4" s="3">
        <f ca="true">COUNTIF(OFFSET('最后反馈问卷（量表）'!$A:$A,0,ROW(E3)-1),F$1)</f>
        <v>11</v>
      </c>
      <c r="G4">
        <f t="shared" ca="true" si="0"/>
        <v>20</v>
      </c>
    </row>
    <row r="5" spans="1:7" ht="14">
      <c r="A5" s="6" t="s">
        <v>126</v>
      </c>
      <c r="B5" s="3">
        <f ca="true">COUNTIF(OFFSET('最后反馈问卷（量表）'!$A:$A,0,ROW(A4)-1),B$1)</f>
        <v>0</v>
      </c>
      <c r="C5" s="3">
        <f ca="true">COUNTIF(OFFSET('最后反馈问卷（量表）'!$A:$A,0,ROW(B4)-1),C$1)</f>
        <v>0</v>
      </c>
      <c r="D5" s="3">
        <f ca="true">COUNTIF(OFFSET('最后反馈问卷（量表）'!$A:$A,0,ROW(C4)-1),D$1)</f>
        <v>0</v>
      </c>
      <c r="E5" s="3">
        <f ca="true">COUNTIF(OFFSET('最后反馈问卷（量表）'!$A:$A,0,ROW(D4)-1),E$1)</f>
        <v>5</v>
      </c>
      <c r="F5" s="3">
        <f ca="true">COUNTIF(OFFSET('最后反馈问卷（量表）'!$A:$A,0,ROW(E4)-1),F$1)</f>
        <v>15</v>
      </c>
      <c r="G5">
        <f t="shared" ca="true" si="0"/>
        <v>20</v>
      </c>
    </row>
    <row r="6" spans="1:7" ht="14">
      <c r="A6" s="6" t="s">
        <v>127</v>
      </c>
      <c r="B6" s="3">
        <f ca="true">COUNTIF(OFFSET('最后反馈问卷（量表）'!$A:$A,0,ROW(A5)-1),B$1)</f>
        <v>8</v>
      </c>
      <c r="C6" s="3">
        <f ca="true">COUNTIF(OFFSET('最后反馈问卷（量表）'!$A:$A,0,ROW(B5)-1),C$1)</f>
        <v>9</v>
      </c>
      <c r="D6" s="3">
        <f ca="true">COUNTIF(OFFSET('最后反馈问卷（量表）'!$A:$A,0,ROW(C5)-1),D$1)</f>
        <v>3</v>
      </c>
      <c r="E6" s="3">
        <f ca="true">COUNTIF(OFFSET('最后反馈问卷（量表）'!$A:$A,0,ROW(D5)-1),E$1)</f>
        <v>0</v>
      </c>
      <c r="F6" s="3">
        <f ca="true">COUNTIF(OFFSET('最后反馈问卷（量表）'!$A:$A,0,ROW(E5)-1),F$1)</f>
        <v>0</v>
      </c>
      <c r="G6">
        <f t="shared" ca="true" si="0"/>
        <v>20</v>
      </c>
    </row>
    <row r="7" spans="1:7" ht="14">
      <c r="A7" s="6" t="s">
        <v>29</v>
      </c>
      <c r="B7" s="3">
        <f ca="true">COUNTIF(OFFSET('最后反馈问卷（量表）'!$A:$A,0,ROW(A6)-1),B$1)</f>
        <v>8</v>
      </c>
      <c r="C7" s="3">
        <f ca="true">COUNTIF(OFFSET('最后反馈问卷（量表）'!$A:$A,0,ROW(B6)-1),C$1)</f>
        <v>5</v>
      </c>
      <c r="D7" s="3">
        <f ca="true">COUNTIF(OFFSET('最后反馈问卷（量表）'!$A:$A,0,ROW(C6)-1),D$1)</f>
        <v>7</v>
      </c>
      <c r="E7" s="3">
        <f ca="true">COUNTIF(OFFSET('最后反馈问卷（量表）'!$A:$A,0,ROW(D6)-1),E$1)</f>
        <v>0</v>
      </c>
      <c r="F7" s="3">
        <f ca="true">COUNTIF(OFFSET('最后反馈问卷（量表）'!$A:$A,0,ROW(E6)-1),F$1)</f>
        <v>0</v>
      </c>
      <c r="G7">
        <f t="shared" ca="true" si="0"/>
        <v>20</v>
      </c>
    </row>
    <row r="8" spans="1:7" ht="14">
      <c r="A8" s="6" t="s">
        <v>30</v>
      </c>
      <c r="B8" s="3">
        <f ca="true">COUNTIF(OFFSET('最后反馈问卷（量表）'!$A:$A,0,ROW(A7)-1),B$1)</f>
        <v>0</v>
      </c>
      <c r="C8" s="3">
        <f ca="true">COUNTIF(OFFSET('最后反馈问卷（量表）'!$A:$A,0,ROW(B7)-1),C$1)</f>
        <v>3</v>
      </c>
      <c r="D8" s="3">
        <f ca="true">COUNTIF(OFFSET('最后反馈问卷（量表）'!$A:$A,0,ROW(C7)-1),D$1)</f>
        <v>8</v>
      </c>
      <c r="E8" s="3">
        <f ca="true">COUNTIF(OFFSET('最后反馈问卷（量表）'!$A:$A,0,ROW(D7)-1),E$1)</f>
        <v>5</v>
      </c>
      <c r="F8" s="3">
        <f ca="true">COUNTIF(OFFSET('最后反馈问卷（量表）'!$A:$A,0,ROW(E7)-1),F$1)</f>
        <v>4</v>
      </c>
      <c r="G8">
        <f t="shared" ca="true" si="0"/>
        <v>20</v>
      </c>
    </row>
    <row r="9" spans="1:7" ht="14">
      <c r="A9" s="6" t="s">
        <v>31</v>
      </c>
      <c r="B9" s="3">
        <f ca="true">COUNTIF(OFFSET('最后反馈问卷（量表）'!$A:$A,0,ROW(A8)-1),B$1)</f>
        <v>0</v>
      </c>
      <c r="C9" s="3">
        <f ca="true">COUNTIF(OFFSET('最后反馈问卷（量表）'!$A:$A,0,ROW(B8)-1),C$1)</f>
        <v>4</v>
      </c>
      <c r="D9" s="3">
        <f ca="true">COUNTIF(OFFSET('最后反馈问卷（量表）'!$A:$A,0,ROW(C8)-1),D$1)</f>
        <v>9</v>
      </c>
      <c r="E9" s="3">
        <f ca="true">COUNTIF(OFFSET('最后反馈问卷（量表）'!$A:$A,0,ROW(D8)-1),E$1)</f>
        <v>7</v>
      </c>
      <c r="F9" s="3">
        <f ca="true">COUNTIF(OFFSET('最后反馈问卷（量表）'!$A:$A,0,ROW(E8)-1),F$1)</f>
        <v>0</v>
      </c>
      <c r="G9">
        <f t="shared" ca="true" si="0"/>
        <v>20</v>
      </c>
    </row>
    <row r="10" spans="1:7" ht="14">
      <c r="A10" s="6" t="s">
        <v>32</v>
      </c>
      <c r="B10" s="3">
        <f ca="true">COUNTIF(OFFSET('最后反馈问卷（量表）'!$A:$A,0,ROW(A9)-1),B$1)</f>
        <v>9</v>
      </c>
      <c r="C10" s="3">
        <f ca="true">COUNTIF(OFFSET('最后反馈问卷（量表）'!$A:$A,0,ROW(B9)-1),C$1)</f>
        <v>9</v>
      </c>
      <c r="D10" s="3">
        <f ca="true">COUNTIF(OFFSET('最后反馈问卷（量表）'!$A:$A,0,ROW(C9)-1),D$1)</f>
        <v>2</v>
      </c>
      <c r="E10" s="3">
        <f ca="true">COUNTIF(OFFSET('最后反馈问卷（量表）'!$A:$A,0,ROW(D9)-1),E$1)</f>
        <v>0</v>
      </c>
      <c r="F10" s="3">
        <f ca="true">COUNTIF(OFFSET('最后反馈问卷（量表）'!$A:$A,0,ROW(E9)-1),F$1)</f>
        <v>0</v>
      </c>
      <c r="G10">
        <f t="shared" ca="true" si="0"/>
        <v>20</v>
      </c>
    </row>
    <row r="11" spans="1:7" ht="14">
      <c r="A11" s="6" t="s">
        <v>128</v>
      </c>
      <c r="B11" s="3">
        <f ca="true">COUNTIF(OFFSET('最后反馈问卷（量表）'!$A:$A,0,ROW(A10)-1),B$1)</f>
        <v>7</v>
      </c>
      <c r="C11" s="3">
        <f ca="true">COUNTIF(OFFSET('最后反馈问卷（量表）'!$A:$A,0,ROW(B10)-1),C$1)</f>
        <v>8</v>
      </c>
      <c r="D11" s="3">
        <f ca="true">COUNTIF(OFFSET('最后反馈问卷（量表）'!$A:$A,0,ROW(C10)-1),D$1)</f>
        <v>3</v>
      </c>
      <c r="E11" s="3">
        <f ca="true">COUNTIF(OFFSET('最后反馈问卷（量表）'!$A:$A,0,ROW(D10)-1),E$1)</f>
        <v>2</v>
      </c>
      <c r="F11" s="3">
        <f ca="true">COUNTIF(OFFSET('最后反馈问卷（量表）'!$A:$A,0,ROW(E10)-1),F$1)</f>
        <v>0</v>
      </c>
      <c r="G11">
        <f t="shared" ca="true" si="0"/>
        <v>20</v>
      </c>
    </row>
    <row r="12" spans="1:7" ht="14">
      <c r="A12" s="6" t="s">
        <v>129</v>
      </c>
      <c r="B12" s="3">
        <f ca="true">COUNTIF(OFFSET('最后反馈问卷（量表）'!$A:$A,0,ROW(A11)-1),B$1)</f>
        <v>0</v>
      </c>
      <c r="C12" s="3">
        <f ca="true">COUNTIF(OFFSET('最后反馈问卷（量表）'!$A:$A,0,ROW(B11)-1),C$1)</f>
        <v>7</v>
      </c>
      <c r="D12" s="3">
        <f ca="true">COUNTIF(OFFSET('最后反馈问卷（量表）'!$A:$A,0,ROW(C11)-1),D$1)</f>
        <v>11</v>
      </c>
      <c r="E12" s="3">
        <f ca="true">COUNTIF(OFFSET('最后反馈问卷（量表）'!$A:$A,0,ROW(D11)-1),E$1)</f>
        <v>2</v>
      </c>
      <c r="F12" s="3">
        <f ca="true">COUNTIF(OFFSET('最后反馈问卷（量表）'!$A:$A,0,ROW(E11)-1),F$1)</f>
        <v>0</v>
      </c>
      <c r="G12">
        <f t="shared" ca="true" si="0"/>
        <v>20</v>
      </c>
    </row>
    <row r="13" spans="1:7" ht="14">
      <c r="A13" s="6" t="s">
        <v>130</v>
      </c>
      <c r="B13" s="3">
        <f ca="true">COUNTIF(OFFSET('最后反馈问卷（量表）'!$A:$A,0,ROW(A12)-1),B$1)</f>
        <v>5</v>
      </c>
      <c r="C13" s="3">
        <f ca="true">COUNTIF(OFFSET('最后反馈问卷（量表）'!$A:$A,0,ROW(B12)-1),C$1)</f>
        <v>9</v>
      </c>
      <c r="D13" s="3">
        <f ca="true">COUNTIF(OFFSET('最后反馈问卷（量表）'!$A:$A,0,ROW(C12)-1),D$1)</f>
        <v>2</v>
      </c>
      <c r="E13" s="3">
        <f ca="true">COUNTIF(OFFSET('最后反馈问卷（量表）'!$A:$A,0,ROW(D12)-1),E$1)</f>
        <v>4</v>
      </c>
      <c r="F13" s="3">
        <f ca="true">COUNTIF(OFFSET('最后反馈问卷（量表）'!$A:$A,0,ROW(E12)-1),F$1)</f>
        <v>0</v>
      </c>
      <c r="G13">
        <f t="shared" ca="true" si="0"/>
        <v>20</v>
      </c>
    </row>
    <row r="14" spans="1:7" ht="14">
      <c r="A14" s="6" t="s">
        <v>131</v>
      </c>
      <c r="B14" s="3">
        <f ca="true">COUNTIF(OFFSET('最后反馈问卷（量表）'!$A:$A,0,ROW(A13)-1),B$1)</f>
        <v>0</v>
      </c>
      <c r="C14" s="3">
        <f ca="true">COUNTIF(OFFSET('最后反馈问卷（量表）'!$A:$A,0,ROW(B13)-1),C$1)</f>
        <v>9</v>
      </c>
      <c r="D14" s="3">
        <f ca="true">COUNTIF(OFFSET('最后反馈问卷（量表）'!$A:$A,0,ROW(C13)-1),D$1)</f>
        <v>5</v>
      </c>
      <c r="E14" s="3">
        <f ca="true">COUNTIF(OFFSET('最后反馈问卷（量表）'!$A:$A,0,ROW(D13)-1),E$1)</f>
        <v>6</v>
      </c>
      <c r="F14" s="3">
        <f ca="true">COUNTIF(OFFSET('最后反馈问卷（量表）'!$A:$A,0,ROW(E13)-1),F$1)</f>
        <v>0</v>
      </c>
      <c r="G14">
        <f t="shared" ca="true" si="0"/>
        <v>20</v>
      </c>
    </row>
    <row r="15" spans="1:7" ht="14">
      <c r="A15" s="6" t="s">
        <v>132</v>
      </c>
      <c r="B15" s="3">
        <f ca="true">COUNTIF(OFFSET('最后反馈问卷（量表）'!$A:$A,0,ROW(A14)-1),B$1)</f>
        <v>0</v>
      </c>
      <c r="C15" s="3">
        <f ca="true">COUNTIF(OFFSET('最后反馈问卷（量表）'!$A:$A,0,ROW(B14)-1),C$1)</f>
        <v>0</v>
      </c>
      <c r="D15" s="3">
        <f ca="true">COUNTIF(OFFSET('最后反馈问卷（量表）'!$A:$A,0,ROW(C14)-1),D$1)</f>
        <v>0</v>
      </c>
      <c r="E15" s="3">
        <f ca="true">COUNTIF(OFFSET('最后反馈问卷（量表）'!$A:$A,0,ROW(D14)-1),E$1)</f>
        <v>9</v>
      </c>
      <c r="F15" s="3">
        <f ca="true">COUNTIF(OFFSET('最后反馈问卷（量表）'!$A:$A,0,ROW(E14)-1),F$1)</f>
        <v>11</v>
      </c>
      <c r="G15">
        <f t="shared" ca="true" si="0"/>
        <v>20</v>
      </c>
    </row>
    <row r="16" spans="1:7" ht="14">
      <c r="A16" s="6" t="s">
        <v>133</v>
      </c>
      <c r="B16" s="3">
        <f ca="true">COUNTIF(OFFSET('最后反馈问卷（量表）'!$A:$A,0,ROW(A15)-1),B$1)</f>
        <v>0</v>
      </c>
      <c r="C16" s="3">
        <f ca="true">COUNTIF(OFFSET('最后反馈问卷（量表）'!$A:$A,0,ROW(B15)-1),C$1)</f>
        <v>0</v>
      </c>
      <c r="D16" s="3">
        <f ca="true">COUNTIF(OFFSET('最后反馈问卷（量表）'!$A:$A,0,ROW(C15)-1),D$1)</f>
        <v>3</v>
      </c>
      <c r="E16" s="3">
        <f ca="true">COUNTIF(OFFSET('最后反馈问卷（量表）'!$A:$A,0,ROW(D15)-1),E$1)</f>
        <v>7</v>
      </c>
      <c r="F16" s="3">
        <f ca="true">COUNTIF(OFFSET('最后反馈问卷（量表）'!$A:$A,0,ROW(E15)-1),F$1)</f>
        <v>10</v>
      </c>
      <c r="G16">
        <f t="shared" ca="true" si="0"/>
        <v>20</v>
      </c>
    </row>
    <row r="17" spans="1:7" ht="14">
      <c r="A17" s="6" t="s">
        <v>134</v>
      </c>
      <c r="B17" s="3">
        <f ca="true">COUNTIF(OFFSET('最后反馈问卷（量表）'!$A:$A,0,ROW(A16)-1),B$1)</f>
        <v>0</v>
      </c>
      <c r="C17" s="3">
        <f ca="true">COUNTIF(OFFSET('最后反馈问卷（量表）'!$A:$A,0,ROW(B16)-1),C$1)</f>
        <v>3</v>
      </c>
      <c r="D17" s="3">
        <f ca="true">COUNTIF(OFFSET('最后反馈问卷（量表）'!$A:$A,0,ROW(C16)-1),D$1)</f>
        <v>7</v>
      </c>
      <c r="E17" s="3">
        <f ca="true">COUNTIF(OFFSET('最后反馈问卷（量表）'!$A:$A,0,ROW(D16)-1),E$1)</f>
        <v>7</v>
      </c>
      <c r="F17" s="3">
        <f ca="true">COUNTIF(OFFSET('最后反馈问卷（量表）'!$A:$A,0,ROW(E16)-1),F$1)</f>
        <v>3</v>
      </c>
      <c r="G17">
        <f t="shared" ca="true" si="0"/>
        <v>20</v>
      </c>
    </row>
    <row r="18" spans="1:7" ht="14">
      <c r="A18" s="6" t="s">
        <v>135</v>
      </c>
      <c r="B18" s="3">
        <f ca="true">COUNTIF(OFFSET('最后反馈问卷（量表）'!$A:$A,0,ROW(A17)-1),B$1)</f>
        <v>0</v>
      </c>
      <c r="C18" s="3">
        <f ca="true">COUNTIF(OFFSET('最后反馈问卷（量表）'!$A:$A,0,ROW(B17)-1),C$1)</f>
        <v>0</v>
      </c>
      <c r="D18" s="3">
        <f ca="true">COUNTIF(OFFSET('最后反馈问卷（量表）'!$A:$A,0,ROW(C17)-1),D$1)</f>
        <v>7</v>
      </c>
      <c r="E18" s="3">
        <f ca="true">COUNTIF(OFFSET('最后反馈问卷（量表）'!$A:$A,0,ROW(D17)-1),E$1)</f>
        <v>4</v>
      </c>
      <c r="F18" s="3">
        <f ca="true">COUNTIF(OFFSET('最后反馈问卷（量表）'!$A:$A,0,ROW(E17)-1),F$1)</f>
        <v>9</v>
      </c>
      <c r="G18">
        <f t="shared" ca="true" si="0"/>
        <v>20</v>
      </c>
    </row>
    <row r="19" spans="1:7" ht="14">
      <c r="A19" s="6" t="s">
        <v>136</v>
      </c>
      <c r="B19" s="3">
        <f ca="true">COUNTIF(OFFSET('最后反馈问卷（量表）'!$A:$A,0,ROW(A18)-1),B$1)</f>
        <v>16</v>
      </c>
      <c r="C19" s="3">
        <f ca="true">COUNTIF(OFFSET('最后反馈问卷（量表）'!$A:$A,0,ROW(B18)-1),C$1)</f>
        <v>4</v>
      </c>
      <c r="D19" s="3">
        <f ca="true">COUNTIF(OFFSET('最后反馈问卷（量表）'!$A:$A,0,ROW(C18)-1),D$1)</f>
        <v>0</v>
      </c>
      <c r="E19" s="3">
        <f ca="true">COUNTIF(OFFSET('最后反馈问卷（量表）'!$A:$A,0,ROW(D18)-1),E$1)</f>
        <v>0</v>
      </c>
      <c r="F19" s="3">
        <f ca="true">COUNTIF(OFFSET('最后反馈问卷（量表）'!$A:$A,0,ROW(E18)-1),F$1)</f>
        <v>0</v>
      </c>
      <c r="G19">
        <f t="shared" ca="true" si="0"/>
        <v>20</v>
      </c>
    </row>
    <row r="20" spans="1:7" ht="14">
      <c r="A20" s="6" t="s">
        <v>137</v>
      </c>
      <c r="B20" s="3">
        <f ca="true">COUNTIF(OFFSET('最后反馈问卷（量表）'!$A:$A,0,ROW(A19)-1),B$1)</f>
        <v>0</v>
      </c>
      <c r="C20" s="3">
        <f ca="true">COUNTIF(OFFSET('最后反馈问卷（量表）'!$A:$A,0,ROW(B19)-1),C$1)</f>
        <v>0</v>
      </c>
      <c r="D20" s="3">
        <f ca="true">COUNTIF(OFFSET('最后反馈问卷（量表）'!$A:$A,0,ROW(C19)-1),D$1)</f>
        <v>0</v>
      </c>
      <c r="E20" s="3">
        <f ca="true">COUNTIF(OFFSET('最后反馈问卷（量表）'!$A:$A,0,ROW(D19)-1),E$1)</f>
        <v>10</v>
      </c>
      <c r="F20" s="3">
        <f ca="true">COUNTIF(OFFSET('最后反馈问卷（量表）'!$A:$A,0,ROW(E19)-1),F$1)</f>
        <v>10</v>
      </c>
      <c r="G20">
        <f t="shared" ca="true" si="0"/>
        <v>20</v>
      </c>
    </row>
    <row r="21" spans="1:7" ht="14">
      <c r="A21" s="6"/>
    </row>
    <row r="22" spans="1:7" ht="14">
      <c r="A22" s="6"/>
    </row>
    <row r="23" spans="1:7" ht="14">
      <c r="A23" s="6"/>
    </row>
    <row r="24" spans="1:7" ht="14">
      <c r="A24" s="6"/>
    </row>
  </sheetData>
  <pageMargins left="0.75" right="0.75" top="1" bottom="1" header="0.5" footer="0.5"/>
  <headerFooter/>
  <pictur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zoomScale="85" zoomScaleNormal="85" workbookViewId="0">
      <selection activeCell="A17" sqref="A17"/>
    </sheetView>
  </sheetViews>
  <sheetFormatPr defaultColWidth="8.72727272727273" defaultRowHeight="12.5" outlineLevelCol="6"/>
  <cols>
    <col customWidth="true" max="1" min="1" width="134.636363636364"/>
    <col customWidth="true" max="3" min="2" width="10.7272727272727"/>
    <col customWidth="true" max="4" min="4" width="5.18181818181818"/>
  </cols>
  <sheetData>
    <row r="1" spans="1:7" ht="13">
      <c r="B1" s="1" t="s">
        <v>47</v>
      </c>
      <c r="C1" s="1" t="s">
        <v>45</v>
      </c>
      <c r="D1" s="1" t="s">
        <v>46</v>
      </c>
      <c r="E1" s="1" t="s">
        <v>44</v>
      </c>
      <c r="F1" s="1" t="s">
        <v>43</v>
      </c>
      <c r="G1" s="1" t="s">
        <v>82</v>
      </c>
    </row>
    <row r="2" spans="1:7">
      <c r="A2" t="s">
        <v>66</v>
      </c>
      <c r="B2">
        <f ca="true">COUNTIF(OFFSET(总表单!$A:$A,0,ROW(A1)-1),B$1)</f>
        <v>17</v>
      </c>
      <c r="C2">
        <f ca="true">COUNTIF(OFFSET(总表单!$A:$A,0,ROW(B1)-1),C$1)</f>
        <v>21</v>
      </c>
      <c r="D2">
        <f ca="true">COUNTIF(OFFSET(总表单!$A:$A,0,ROW(C1)-1),D$1)</f>
        <v>28</v>
      </c>
      <c r="E2">
        <f ca="true">COUNTIF(OFFSET(总表单!$A:$A,0,ROW(D1)-1),E$1)</f>
        <v>33</v>
      </c>
      <c r="F2">
        <f ca="true">COUNTIF(OFFSET(总表单!$A:$A,0,ROW(E1)-1),F$1)</f>
        <v>18</v>
      </c>
      <c r="G2">
        <f ca="true">SUM(B2:F2)</f>
        <v>117</v>
      </c>
    </row>
    <row r="3" spans="1:7">
      <c r="A3" t="s">
        <v>67</v>
      </c>
      <c r="B3">
        <f ca="true">COUNTIF(OFFSET(总表单!$A:$A,0,ROW(A2)-1),B$1)</f>
        <v>19</v>
      </c>
      <c r="C3">
        <f ca="true">COUNTIF(OFFSET(总表单!$A:$A,0,ROW(B2)-1),C$1)</f>
        <v>19</v>
      </c>
      <c r="D3">
        <f ca="true">COUNTIF(OFFSET(总表单!$A:$A,0,ROW(C2)-1),D$1)</f>
        <v>26</v>
      </c>
      <c r="E3">
        <f ca="true">COUNTIF(OFFSET(总表单!$A:$A,0,ROW(D2)-1),E$1)</f>
        <v>32</v>
      </c>
      <c r="F3">
        <f ca="true">COUNTIF(OFFSET(总表单!$A:$A,0,ROW(E2)-1),F$1)</f>
        <v>21</v>
      </c>
      <c r="G3">
        <f t="shared" ref="G3:G17" ca="true" si="0">SUM(B3:F3)</f>
        <v>117</v>
      </c>
    </row>
    <row r="4" spans="1:7">
      <c r="A4" t="s">
        <v>68</v>
      </c>
      <c r="B4">
        <f ca="true">COUNTIF(OFFSET(总表单!$A:$A,0,ROW(A3)-1),B$1)</f>
        <v>17</v>
      </c>
      <c r="C4">
        <f ca="true">COUNTIF(OFFSET(总表单!$A:$A,0,ROW(B3)-1),C$1)</f>
        <v>23</v>
      </c>
      <c r="D4">
        <f ca="true">COUNTIF(OFFSET(总表单!$A:$A,0,ROW(C3)-1),D$1)</f>
        <v>25</v>
      </c>
      <c r="E4">
        <f ca="true">COUNTIF(OFFSET(总表单!$A:$A,0,ROW(D3)-1),E$1)</f>
        <v>29</v>
      </c>
      <c r="F4">
        <f ca="true">COUNTIF(OFFSET(总表单!$A:$A,0,ROW(E3)-1),F$1)</f>
        <v>23</v>
      </c>
      <c r="G4">
        <f t="shared" ca="true" si="0"/>
        <v>117</v>
      </c>
    </row>
    <row r="5" spans="1:7">
      <c r="A5" s="2" t="s">
        <v>69</v>
      </c>
      <c r="B5">
        <f ca="true">COUNTIF(OFFSET(总表单!$A:$A,0,ROW(A4)-1),B$1)</f>
        <v>12</v>
      </c>
      <c r="C5">
        <f ca="true">COUNTIF(OFFSET(总表单!$A:$A,0,ROW(B4)-1),C$1)</f>
        <v>20</v>
      </c>
      <c r="D5">
        <f ca="true">COUNTIF(OFFSET(总表单!$A:$A,0,ROW(C4)-1),D$1)</f>
        <v>28</v>
      </c>
      <c r="E5">
        <f ca="true">COUNTIF(OFFSET(总表单!$A:$A,0,ROW(D4)-1),E$1)</f>
        <v>27</v>
      </c>
      <c r="F5">
        <f ca="true">COUNTIF(OFFSET(总表单!$A:$A,0,ROW(E4)-1),F$1)</f>
        <v>30</v>
      </c>
      <c r="G5">
        <f t="shared" ca="true" si="0"/>
        <v>117</v>
      </c>
    </row>
    <row r="6" spans="1:7">
      <c r="A6" s="2" t="s">
        <v>70</v>
      </c>
      <c r="B6">
        <f ca="true">COUNTIF(OFFSET(总表单!$A:$A,0,ROW(A5)-1),B$1)</f>
        <v>14</v>
      </c>
      <c r="C6">
        <f ca="true">COUNTIF(OFFSET(总表单!$A:$A,0,ROW(B5)-1),C$1)</f>
        <v>23</v>
      </c>
      <c r="D6">
        <f ca="true">COUNTIF(OFFSET(总表单!$A:$A,0,ROW(C5)-1),D$1)</f>
        <v>33</v>
      </c>
      <c r="E6">
        <f ca="true">COUNTIF(OFFSET(总表单!$A:$A,0,ROW(D5)-1),E$1)</f>
        <v>31</v>
      </c>
      <c r="F6">
        <f ca="true">COUNTIF(OFFSET(总表单!$A:$A,0,ROW(E5)-1),F$1)</f>
        <v>16</v>
      </c>
      <c r="G6">
        <f t="shared" ca="true" si="0"/>
        <v>117</v>
      </c>
    </row>
    <row r="7" spans="1:7">
      <c r="A7" t="s">
        <v>71</v>
      </c>
      <c r="B7">
        <f ca="true">COUNTIF(OFFSET(总表单!$A:$A,0,ROW(A6)-1),B$1)</f>
        <v>21</v>
      </c>
      <c r="C7">
        <f ca="true">COUNTIF(OFFSET(总表单!$A:$A,0,ROW(B6)-1),C$1)</f>
        <v>17</v>
      </c>
      <c r="D7">
        <f ca="true">COUNTIF(OFFSET(总表单!$A:$A,0,ROW(C6)-1),D$1)</f>
        <v>35</v>
      </c>
      <c r="E7">
        <f ca="true">COUNTIF(OFFSET(总表单!$A:$A,0,ROW(D6)-1),E$1)</f>
        <v>29</v>
      </c>
      <c r="F7">
        <f ca="true">COUNTIF(OFFSET(总表单!$A:$A,0,ROW(E6)-1),F$1)</f>
        <v>15</v>
      </c>
      <c r="G7">
        <f t="shared" ca="true" si="0"/>
        <v>117</v>
      </c>
    </row>
    <row r="8" spans="1:7">
      <c r="A8" t="s">
        <v>72</v>
      </c>
      <c r="B8">
        <f ca="true">COUNTIF(OFFSET(总表单!$A:$A,0,ROW(A7)-1),B$1)</f>
        <v>10</v>
      </c>
      <c r="C8">
        <f ca="true">COUNTIF(OFFSET(总表单!$A:$A,0,ROW(B7)-1),C$1)</f>
        <v>16</v>
      </c>
      <c r="D8">
        <f ca="true">COUNTIF(OFFSET(总表单!$A:$A,0,ROW(C7)-1),D$1)</f>
        <v>33</v>
      </c>
      <c r="E8">
        <f ca="true">COUNTIF(OFFSET(总表单!$A:$A,0,ROW(D7)-1),E$1)</f>
        <v>35</v>
      </c>
      <c r="F8">
        <f ca="true">COUNTIF(OFFSET(总表单!$A:$A,0,ROW(E7)-1),F$1)</f>
        <v>23</v>
      </c>
      <c r="G8">
        <f t="shared" ca="true" si="0"/>
        <v>117</v>
      </c>
    </row>
    <row r="9" spans="1:7">
      <c r="A9" t="s">
        <v>73</v>
      </c>
      <c r="B9">
        <f ca="true">COUNTIF(OFFSET(总表单!$A:$A,0,ROW(A8)-1),B$1)</f>
        <v>8</v>
      </c>
      <c r="C9">
        <f ca="true">COUNTIF(OFFSET(总表单!$A:$A,0,ROW(B8)-1),C$1)</f>
        <v>26</v>
      </c>
      <c r="D9">
        <f ca="true">COUNTIF(OFFSET(总表单!$A:$A,0,ROW(C8)-1),D$1)</f>
        <v>36</v>
      </c>
      <c r="E9">
        <f ca="true">COUNTIF(OFFSET(总表单!$A:$A,0,ROW(D8)-1),E$1)</f>
        <v>28</v>
      </c>
      <c r="F9">
        <f ca="true">COUNTIF(OFFSET(总表单!$A:$A,0,ROW(E8)-1),F$1)</f>
        <v>19</v>
      </c>
      <c r="G9">
        <f t="shared" ca="true" si="0"/>
        <v>117</v>
      </c>
    </row>
    <row r="10" spans="1:7">
      <c r="A10" t="s">
        <v>74</v>
      </c>
      <c r="B10">
        <f ca="true">COUNTIF(OFFSET(总表单!$A:$A,0,ROW(A9)-1),B$1)</f>
        <v>12</v>
      </c>
      <c r="C10">
        <f ca="true">COUNTIF(OFFSET(总表单!$A:$A,0,ROW(B9)-1),C$1)</f>
        <v>20</v>
      </c>
      <c r="D10">
        <f ca="true">COUNTIF(OFFSET(总表单!$A:$A,0,ROW(C9)-1),D$1)</f>
        <v>35</v>
      </c>
      <c r="E10">
        <f ca="true">COUNTIF(OFFSET(总表单!$A:$A,0,ROW(D9)-1),E$1)</f>
        <v>29</v>
      </c>
      <c r="F10">
        <f ca="true">COUNTIF(OFFSET(总表单!$A:$A,0,ROW(E9)-1),F$1)</f>
        <v>21</v>
      </c>
      <c r="G10">
        <f t="shared" ca="true" si="0"/>
        <v>117</v>
      </c>
    </row>
    <row r="11" spans="1:7">
      <c r="A11" t="s">
        <v>75</v>
      </c>
      <c r="B11">
        <f ca="true">COUNTIF(OFFSET(总表单!$A:$A,0,ROW(A10)-1),B$1)</f>
        <v>16</v>
      </c>
      <c r="C11">
        <f ca="true">COUNTIF(OFFSET(总表单!$A:$A,0,ROW(B10)-1),C$1)</f>
        <v>29</v>
      </c>
      <c r="D11">
        <f ca="true">COUNTIF(OFFSET(总表单!$A:$A,0,ROW(C10)-1),D$1)</f>
        <v>25</v>
      </c>
      <c r="E11">
        <f ca="true">COUNTIF(OFFSET(总表单!$A:$A,0,ROW(D10)-1),E$1)</f>
        <v>29</v>
      </c>
      <c r="F11">
        <f ca="true">COUNTIF(OFFSET(总表单!$A:$A,0,ROW(E10)-1),F$1)</f>
        <v>18</v>
      </c>
      <c r="G11">
        <f t="shared" ca="true" si="0"/>
        <v>117</v>
      </c>
    </row>
    <row r="12" spans="1:7">
      <c r="A12" t="s">
        <v>76</v>
      </c>
      <c r="B12">
        <f ca="true">COUNTIF(OFFSET(总表单!$A:$A,0,ROW(A11)-1),B$1)</f>
        <v>14</v>
      </c>
      <c r="C12">
        <f ca="true">COUNTIF(OFFSET(总表单!$A:$A,0,ROW(B11)-1),C$1)</f>
        <v>18</v>
      </c>
      <c r="D12">
        <f ca="true">COUNTIF(OFFSET(总表单!$A:$A,0,ROW(C11)-1),D$1)</f>
        <v>33</v>
      </c>
      <c r="E12">
        <f ca="true">COUNTIF(OFFSET(总表单!$A:$A,0,ROW(D11)-1),E$1)</f>
        <v>32</v>
      </c>
      <c r="F12">
        <f ca="true">COUNTIF(OFFSET(总表单!$A:$A,0,ROW(E11)-1),F$1)</f>
        <v>20</v>
      </c>
      <c r="G12">
        <f t="shared" ca="true" si="0"/>
        <v>117</v>
      </c>
    </row>
    <row r="13" spans="1:7">
      <c r="A13" t="s">
        <v>77</v>
      </c>
      <c r="B13">
        <f ca="true">COUNTIF(OFFSET(总表单!$A:$A,0,ROW(A12)-1),B$1)</f>
        <v>13</v>
      </c>
      <c r="C13">
        <f ca="true">COUNTIF(OFFSET(总表单!$A:$A,0,ROW(B12)-1),C$1)</f>
        <v>13</v>
      </c>
      <c r="D13">
        <f ca="true">COUNTIF(OFFSET(总表单!$A:$A,0,ROW(C12)-1),D$1)</f>
        <v>25</v>
      </c>
      <c r="E13">
        <f ca="true">COUNTIF(OFFSET(总表单!$A:$A,0,ROW(D12)-1),E$1)</f>
        <v>38</v>
      </c>
      <c r="F13">
        <f ca="true">COUNTIF(OFFSET(总表单!$A:$A,0,ROW(E12)-1),F$1)</f>
        <v>28</v>
      </c>
      <c r="G13">
        <f t="shared" ca="true" si="0"/>
        <v>117</v>
      </c>
    </row>
    <row r="14" spans="1:7">
      <c r="A14" t="s">
        <v>78</v>
      </c>
      <c r="B14">
        <f ca="true">COUNTIF(OFFSET(总表单!$A:$A,0,ROW(A13)-1),B$1)</f>
        <v>7</v>
      </c>
      <c r="C14">
        <f ca="true">COUNTIF(OFFSET(总表单!$A:$A,0,ROW(B13)-1),C$1)</f>
        <v>15</v>
      </c>
      <c r="D14">
        <f ca="true">COUNTIF(OFFSET(总表单!$A:$A,0,ROW(C13)-1),D$1)</f>
        <v>33</v>
      </c>
      <c r="E14">
        <f ca="true">COUNTIF(OFFSET(总表单!$A:$A,0,ROW(D13)-1),E$1)</f>
        <v>35</v>
      </c>
      <c r="F14">
        <f ca="true">COUNTIF(OFFSET(总表单!$A:$A,0,ROW(E13)-1),F$1)</f>
        <v>27</v>
      </c>
      <c r="G14">
        <f t="shared" ca="true" si="0"/>
        <v>117</v>
      </c>
    </row>
    <row r="15" spans="1:7">
      <c r="A15" t="s">
        <v>79</v>
      </c>
      <c r="B15">
        <f ca="true">COUNTIF(OFFSET(总表单!$A:$A,0,ROW(A14)-1),B$1)</f>
        <v>6</v>
      </c>
      <c r="C15">
        <f ca="true">COUNTIF(OFFSET(总表单!$A:$A,0,ROW(B14)-1),C$1)</f>
        <v>17</v>
      </c>
      <c r="D15">
        <f ca="true">COUNTIF(OFFSET(总表单!$A:$A,0,ROW(C14)-1),D$1)</f>
        <v>33</v>
      </c>
      <c r="E15">
        <f ca="true">COUNTIF(OFFSET(总表单!$A:$A,0,ROW(D14)-1),E$1)</f>
        <v>39</v>
      </c>
      <c r="F15">
        <f ca="true">COUNTIF(OFFSET(总表单!$A:$A,0,ROW(E14)-1),F$1)</f>
        <v>22</v>
      </c>
      <c r="G15">
        <f t="shared" ca="true" si="0"/>
        <v>117</v>
      </c>
    </row>
    <row r="16" spans="1:7" ht="13">
      <c r="A16" s="1" t="s">
        <v>80</v>
      </c>
      <c r="B16">
        <f ca="true">COUNTIF(OFFSET(总表单!$A:$A,0,ROW(A15)-1),B$1)</f>
        <v>0</v>
      </c>
      <c r="C16">
        <f ca="true">COUNTIF(OFFSET(总表单!$A:$A,0,ROW(B15)-1),C$1)</f>
        <v>3</v>
      </c>
      <c r="D16">
        <f ca="true">COUNTIF(OFFSET(总表单!$A:$A,0,ROW(C15)-1),D$1)</f>
        <v>33</v>
      </c>
      <c r="E16">
        <f ca="true">COUNTIF(OFFSET(总表单!$A:$A,0,ROW(D15)-1),E$1)</f>
        <v>62</v>
      </c>
      <c r="F16">
        <f ca="true">COUNTIF(OFFSET(总表单!$A:$A,0,ROW(E15)-1),F$1)</f>
        <v>19</v>
      </c>
      <c r="G16">
        <f t="shared" ca="true" si="0"/>
        <v>117</v>
      </c>
    </row>
    <row r="17" spans="1:7" ht="13">
      <c r="A17" s="4" t="s">
        <v>81</v>
      </c>
      <c r="B17">
        <f ca="true">COUNTIF(OFFSET(总表单!$A:$A,0,ROW(A16)-1),B$1)</f>
        <v>5</v>
      </c>
      <c r="C17">
        <f ca="true">COUNTIF(OFFSET(总表单!$A:$A,0,ROW(B16)-1),C$1)</f>
        <v>8</v>
      </c>
      <c r="D17">
        <f ca="true">COUNTIF(OFFSET(总表单!$A:$A,0,ROW(C16)-1),D$1)</f>
        <v>33</v>
      </c>
      <c r="E17">
        <f ca="true">COUNTIF(OFFSET(总表单!$A:$A,0,ROW(D16)-1),E$1)</f>
        <v>49</v>
      </c>
      <c r="F17">
        <f ca="true">COUNTIF(OFFSET(总表单!$A:$A,0,ROW(E16)-1),F$1)</f>
        <v>22</v>
      </c>
      <c r="G17">
        <f t="shared" ca="true" si="0"/>
        <v>117</v>
      </c>
    </row>
  </sheetData>
  <pageMargins left="0.75" right="0.75" top="1" bottom="1" header="0.5" footer="0.5"/>
  <headerFooter/>
  <drawing r:id="rId1"/>
  <picture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
  <sheetViews>
    <sheetView workbookViewId="0">
      <selection activeCell="A21" sqref="A21"/>
    </sheetView>
  </sheetViews>
  <sheetFormatPr defaultColWidth="8.72727272727273" defaultRowHeight="12.5" outlineLevelCol="5"/>
  <cols>
    <col customWidth="true" max="1" min="1" width="73"/>
  </cols>
  <sheetData>
    <row r="1" spans="1:6" ht="13">
      <c r="B1" s="1" t="s">
        <v>47</v>
      </c>
      <c r="C1" s="1" t="s">
        <v>45</v>
      </c>
      <c r="D1" s="1" t="s">
        <v>46</v>
      </c>
      <c r="E1" s="1" t="s">
        <v>44</v>
      </c>
      <c r="F1" s="1" t="s">
        <v>43</v>
      </c>
    </row>
    <row r="2" spans="1:6">
      <c r="A2" t="s">
        <v>66</v>
      </c>
      <c r="B2">
        <f ca="true">COUNTIF(OFFSET(总表单!$A:$A,0,ROW(A1)-1),B$1)</f>
        <v>17</v>
      </c>
      <c r="C2">
        <f ca="true">COUNTIF(OFFSET(总表单!$A:$A,0,ROW(B1)-1),C$1)</f>
        <v>21</v>
      </c>
      <c r="D2">
        <f ca="true">COUNTIF(OFFSET(总表单!$A:$A,0,ROW(C1)-1),D$1)</f>
        <v>28</v>
      </c>
      <c r="E2">
        <f ca="true">COUNTIF(OFFSET(总表单!$A:$A,0,ROW(D1)-1),E$1)</f>
        <v>33</v>
      </c>
      <c r="F2">
        <f ca="true">COUNTIF(OFFSET(总表单!$A:$A,0,ROW(E1)-1),F$1)</f>
        <v>18</v>
      </c>
    </row>
    <row r="3" spans="1:6">
      <c r="A3" t="s">
        <v>67</v>
      </c>
      <c r="B3">
        <f ca="true">COUNTIF(OFFSET(总表单!$A:$A,0,ROW(A2)-1),B$1)</f>
        <v>19</v>
      </c>
      <c r="C3">
        <f ca="true">COUNTIF(OFFSET(总表单!$A:$A,0,ROW(B2)-1),C$1)</f>
        <v>19</v>
      </c>
      <c r="D3">
        <f ca="true">COUNTIF(OFFSET(总表单!$A:$A,0,ROW(C2)-1),D$1)</f>
        <v>26</v>
      </c>
      <c r="E3">
        <f ca="true">COUNTIF(OFFSET(总表单!$A:$A,0,ROW(D2)-1),E$1)</f>
        <v>32</v>
      </c>
      <c r="F3">
        <f ca="true">COUNTIF(OFFSET(总表单!$A:$A,0,ROW(E2)-1),F$1)</f>
        <v>21</v>
      </c>
    </row>
    <row r="4" spans="1:6">
      <c r="A4" t="s">
        <v>68</v>
      </c>
      <c r="B4">
        <f ca="true">COUNTIF(OFFSET(总表单!$A:$A,0,ROW(A3)-1),B$1)</f>
        <v>17</v>
      </c>
      <c r="C4">
        <f ca="true">COUNTIF(OFFSET(总表单!$A:$A,0,ROW(B3)-1),C$1)</f>
        <v>23</v>
      </c>
      <c r="D4">
        <f ca="true">COUNTIF(OFFSET(总表单!$A:$A,0,ROW(C3)-1),D$1)</f>
        <v>25</v>
      </c>
      <c r="E4">
        <f ca="true">COUNTIF(OFFSET(总表单!$A:$A,0,ROW(D3)-1),E$1)</f>
        <v>29</v>
      </c>
      <c r="F4">
        <f ca="true">COUNTIF(OFFSET(总表单!$A:$A,0,ROW(E3)-1),F$1)</f>
        <v>23</v>
      </c>
    </row>
    <row r="5" spans="1:6">
      <c r="A5" s="2" t="s">
        <v>69</v>
      </c>
      <c r="B5">
        <f ca="true">COUNTIF(OFFSET(总表单!$A:$A,0,ROW(A4)-1),B$1)</f>
        <v>12</v>
      </c>
      <c r="C5">
        <f ca="true">COUNTIF(OFFSET(总表单!$A:$A,0,ROW(B4)-1),C$1)</f>
        <v>20</v>
      </c>
      <c r="D5">
        <f ca="true">COUNTIF(OFFSET(总表单!$A:$A,0,ROW(C4)-1),D$1)</f>
        <v>28</v>
      </c>
      <c r="E5">
        <f ca="true">COUNTIF(OFFSET(总表单!$A:$A,0,ROW(D4)-1),E$1)</f>
        <v>27</v>
      </c>
      <c r="F5">
        <f ca="true">COUNTIF(OFFSET(总表单!$A:$A,0,ROW(E4)-1),F$1)</f>
        <v>30</v>
      </c>
    </row>
    <row r="6" spans="1:6">
      <c r="A6" s="2"/>
    </row>
    <row r="7"/>
    <row r="8" spans="1:6">
      <c r="A8" t="s">
        <v>72</v>
      </c>
      <c r="B8">
        <f ca="true">COUNTIF(OFFSET(总表单!$A:$A,0,ROW(A7)-1),B$1)</f>
        <v>10</v>
      </c>
      <c r="C8">
        <f ca="true">COUNTIF(OFFSET(总表单!$A:$A,0,ROW(B7)-1),C$1)</f>
        <v>16</v>
      </c>
      <c r="D8">
        <f ca="true">COUNTIF(OFFSET(总表单!$A:$A,0,ROW(C7)-1),D$1)</f>
        <v>33</v>
      </c>
      <c r="E8">
        <f ca="true">COUNTIF(OFFSET(总表单!$A:$A,0,ROW(D7)-1),E$1)</f>
        <v>35</v>
      </c>
      <c r="F8">
        <f ca="true">COUNTIF(OFFSET(总表单!$A:$A,0,ROW(E7)-1),F$1)</f>
        <v>23</v>
      </c>
    </row>
    <row r="9" spans="1:6">
      <c r="A9" t="s">
        <v>73</v>
      </c>
      <c r="B9">
        <f ca="true">COUNTIF(OFFSET(总表单!$A:$A,0,ROW(A8)-1),B$1)</f>
        <v>8</v>
      </c>
      <c r="C9">
        <f ca="true">COUNTIF(OFFSET(总表单!$A:$A,0,ROW(B8)-1),C$1)</f>
        <v>26</v>
      </c>
      <c r="D9">
        <f ca="true">COUNTIF(OFFSET(总表单!$A:$A,0,ROW(C8)-1),D$1)</f>
        <v>36</v>
      </c>
      <c r="E9">
        <f ca="true">COUNTIF(OFFSET(总表单!$A:$A,0,ROW(D8)-1),E$1)</f>
        <v>28</v>
      </c>
      <c r="F9">
        <f ca="true">COUNTIF(OFFSET(总表单!$A:$A,0,ROW(E8)-1),F$1)</f>
        <v>19</v>
      </c>
    </row>
    <row r="10" spans="1:6">
      <c r="A10" t="s">
        <v>74</v>
      </c>
      <c r="B10">
        <f ca="true">COUNTIF(OFFSET(总表单!$A:$A,0,ROW(A9)-1),B$1)</f>
        <v>12</v>
      </c>
      <c r="C10">
        <f ca="true">COUNTIF(OFFSET(总表单!$A:$A,0,ROW(B9)-1),C$1)</f>
        <v>20</v>
      </c>
      <c r="D10">
        <f ca="true">COUNTIF(OFFSET(总表单!$A:$A,0,ROW(C9)-1),D$1)</f>
        <v>35</v>
      </c>
      <c r="E10">
        <f ca="true">COUNTIF(OFFSET(总表单!$A:$A,0,ROW(D9)-1),E$1)</f>
        <v>29</v>
      </c>
      <c r="F10">
        <f ca="true">COUNTIF(OFFSET(总表单!$A:$A,0,ROW(E9)-1),F$1)</f>
        <v>21</v>
      </c>
    </row>
    <row r="11"/>
    <row r="12"/>
    <row r="13" spans="1:6" ht="13">
      <c r="A13" s="3" t="s">
        <v>138</v>
      </c>
      <c r="B13">
        <f ca="true">COUNTIF(OFFSET(总表单!$A:$A,0,ROW(A10)-1),B$1)</f>
        <v>16</v>
      </c>
      <c r="C13">
        <f ca="true">COUNTIF(OFFSET(总表单!$A:$A,0,ROW(B10)-1),C$1)</f>
        <v>29</v>
      </c>
      <c r="D13">
        <f ca="true">COUNTIF(OFFSET(总表单!$A:$A,0,ROW(C10)-1),D$1)</f>
        <v>25</v>
      </c>
      <c r="E13">
        <f ca="true">COUNTIF(OFFSET(总表单!$A:$A,0,ROW(D10)-1),E$1)</f>
        <v>29</v>
      </c>
      <c r="F13">
        <f ca="true">COUNTIF(OFFSET(总表单!$A:$A,0,ROW(E10)-1),F$1)</f>
        <v>18</v>
      </c>
    </row>
    <row r="14" spans="1:6">
      <c r="A14" t="s">
        <v>76</v>
      </c>
      <c r="B14">
        <f ca="true">COUNTIF(OFFSET(总表单!$A:$A,0,ROW(A13)-1),B$1)</f>
        <v>7</v>
      </c>
      <c r="C14">
        <f ca="true">COUNTIF(OFFSET(总表单!$A:$A,0,ROW(B13)-1),C$1)</f>
        <v>15</v>
      </c>
      <c r="D14">
        <f ca="true">COUNTIF(OFFSET(总表单!$A:$A,0,ROW(C13)-1),D$1)</f>
        <v>33</v>
      </c>
      <c r="E14">
        <f ca="true">COUNTIF(OFFSET(总表单!$A:$A,0,ROW(D13)-1),E$1)</f>
        <v>35</v>
      </c>
      <c r="F14">
        <f ca="true">COUNTIF(OFFSET(总表单!$A:$A,0,ROW(E13)-1),F$1)</f>
        <v>27</v>
      </c>
    </row>
    <row r="15" spans="1:6">
      <c r="A15" t="s">
        <v>77</v>
      </c>
      <c r="B15">
        <v>13</v>
      </c>
      <c r="C15">
        <v>13</v>
      </c>
      <c r="D15">
        <v>25</v>
      </c>
      <c r="E15">
        <v>38</v>
      </c>
      <c r="F15">
        <v>28</v>
      </c>
    </row>
    <row r="16"/>
    <row r="17" spans="1:6">
      <c r="A17" t="s">
        <v>78</v>
      </c>
      <c r="B17">
        <v>7</v>
      </c>
      <c r="C17">
        <v>17</v>
      </c>
      <c r="D17">
        <v>31</v>
      </c>
      <c r="E17">
        <v>35</v>
      </c>
      <c r="F17">
        <v>27</v>
      </c>
    </row>
    <row r="18" spans="1:6">
      <c r="A18" t="s">
        <v>79</v>
      </c>
      <c r="B18">
        <v>6</v>
      </c>
      <c r="C18">
        <v>17</v>
      </c>
      <c r="D18">
        <v>33</v>
      </c>
      <c r="E18">
        <v>39</v>
      </c>
      <c r="F18">
        <v>22</v>
      </c>
    </row>
    <row r="19" spans="1:6" ht="13">
      <c r="A19" s="1" t="s">
        <v>80</v>
      </c>
      <c r="B19">
        <v>0</v>
      </c>
      <c r="C19">
        <v>3</v>
      </c>
      <c r="D19">
        <v>33</v>
      </c>
      <c r="E19">
        <v>62</v>
      </c>
      <c r="F19">
        <v>19</v>
      </c>
    </row>
    <row r="20" spans="1:6" ht="13">
      <c r="A20" s="4" t="s">
        <v>81</v>
      </c>
      <c r="B20">
        <v>5</v>
      </c>
      <c r="C20">
        <v>8</v>
      </c>
      <c r="D20">
        <v>33</v>
      </c>
      <c r="E20">
        <v>49</v>
      </c>
      <c r="F20">
        <v>22</v>
      </c>
    </row>
  </sheetData>
  <pageMargins left="0.75" right="0.75" top="1" bottom="1" header="0.5" footer="0.5"/>
  <headerFooter/>
  <drawing r:id="rId1"/>
  <picture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2727272727273" defaultRowHeight="12.5"/>
  <sheetData/>
  <pageMargins left="0.75" right="0.75" top="1" bottom="1" header="0.5" footer="0.5"/>
  <headerFooter/>
  <pictur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zoomScale="160" zoomScaleNormal="160" workbookViewId="0">
      <selection activeCell="C29" sqref="C29"/>
    </sheetView>
  </sheetViews>
  <sheetFormatPr defaultColWidth="8.72727272727273" defaultRowHeight="12.5" outlineLevelCol="6"/>
  <cols>
    <col customWidth="true" max="1" min="1" width="31.2545454545455"/>
  </cols>
  <sheetData>
    <row r="1" spans="1:7">
      <c r="A1" t="s">
        <v>99</v>
      </c>
      <c r="B1" t="s">
        <v>47</v>
      </c>
      <c r="C1" t="s">
        <v>45</v>
      </c>
      <c r="D1" t="s">
        <v>46</v>
      </c>
      <c r="E1" t="s">
        <v>44</v>
      </c>
      <c r="F1" t="s">
        <v>43</v>
      </c>
      <c r="G1" t="s">
        <v>82</v>
      </c>
    </row>
    <row r="2" spans="1:7">
      <c r="A2" t="s">
        <v>123</v>
      </c>
      <c r="B2">
        <v>0</v>
      </c>
      <c r="C2">
        <v>0</v>
      </c>
      <c r="D2">
        <v>0</v>
      </c>
      <c r="E2">
        <v>9</v>
      </c>
      <c r="F2">
        <v>11</v>
      </c>
      <c r="G2">
        <v>20</v>
      </c>
    </row>
    <row r="3" spans="1:7">
      <c r="A3" t="s">
        <v>124</v>
      </c>
      <c r="B3">
        <v>0</v>
      </c>
      <c r="C3">
        <v>0</v>
      </c>
      <c r="D3">
        <v>0</v>
      </c>
      <c r="E3">
        <v>7</v>
      </c>
      <c r="F3">
        <v>13</v>
      </c>
      <c r="G3">
        <v>20</v>
      </c>
    </row>
    <row r="4" spans="1:7">
      <c r="A4" t="s">
        <v>125</v>
      </c>
      <c r="B4">
        <v>0</v>
      </c>
      <c r="C4">
        <v>0</v>
      </c>
      <c r="D4">
        <v>0</v>
      </c>
      <c r="E4">
        <v>9</v>
      </c>
      <c r="F4">
        <v>11</v>
      </c>
      <c r="G4">
        <v>20</v>
      </c>
    </row>
    <row r="5" spans="1:7">
      <c r="A5" t="s">
        <v>126</v>
      </c>
      <c r="B5">
        <v>0</v>
      </c>
      <c r="C5">
        <v>0</v>
      </c>
      <c r="D5">
        <v>0</v>
      </c>
      <c r="E5">
        <v>5</v>
      </c>
      <c r="F5">
        <v>15</v>
      </c>
      <c r="G5">
        <v>20</v>
      </c>
    </row>
    <row r="6" spans="1:7">
      <c r="A6" t="s">
        <v>127</v>
      </c>
      <c r="B6">
        <v>8</v>
      </c>
      <c r="C6">
        <v>9</v>
      </c>
      <c r="D6">
        <v>3</v>
      </c>
      <c r="E6">
        <v>0</v>
      </c>
      <c r="F6">
        <v>0</v>
      </c>
      <c r="G6">
        <v>20</v>
      </c>
    </row>
    <row r="7" spans="1:7">
      <c r="A7" t="s">
        <v>29</v>
      </c>
      <c r="B7">
        <v>8</v>
      </c>
      <c r="C7">
        <v>5</v>
      </c>
      <c r="D7">
        <v>7</v>
      </c>
      <c r="E7">
        <v>0</v>
      </c>
      <c r="F7">
        <v>0</v>
      </c>
      <c r="G7">
        <v>20</v>
      </c>
    </row>
    <row r="8" spans="1:7">
      <c r="A8" t="s">
        <v>30</v>
      </c>
      <c r="B8">
        <v>0</v>
      </c>
      <c r="C8">
        <v>3</v>
      </c>
      <c r="D8">
        <v>8</v>
      </c>
      <c r="E8">
        <v>5</v>
      </c>
      <c r="F8">
        <v>4</v>
      </c>
      <c r="G8">
        <v>20</v>
      </c>
    </row>
    <row r="9" spans="1:7">
      <c r="A9" t="s">
        <v>31</v>
      </c>
      <c r="B9">
        <v>0</v>
      </c>
      <c r="C9">
        <v>4</v>
      </c>
      <c r="D9">
        <v>9</v>
      </c>
      <c r="E9">
        <v>7</v>
      </c>
      <c r="F9">
        <v>0</v>
      </c>
      <c r="G9">
        <v>20</v>
      </c>
    </row>
    <row r="10" spans="1:7">
      <c r="A10" t="s">
        <v>32</v>
      </c>
      <c r="B10">
        <v>9</v>
      </c>
      <c r="C10">
        <v>9</v>
      </c>
      <c r="D10">
        <v>2</v>
      </c>
      <c r="E10">
        <v>0</v>
      </c>
      <c r="F10">
        <v>0</v>
      </c>
      <c r="G10">
        <v>20</v>
      </c>
    </row>
    <row r="11" spans="1:7">
      <c r="A11" t="s">
        <v>128</v>
      </c>
      <c r="B11">
        <v>7</v>
      </c>
      <c r="C11">
        <v>8</v>
      </c>
      <c r="D11">
        <v>3</v>
      </c>
      <c r="E11">
        <v>2</v>
      </c>
      <c r="F11">
        <v>0</v>
      </c>
      <c r="G11">
        <v>20</v>
      </c>
    </row>
    <row r="12" spans="1:7">
      <c r="A12" t="s">
        <v>129</v>
      </c>
      <c r="B12">
        <v>0</v>
      </c>
      <c r="C12">
        <v>7</v>
      </c>
      <c r="D12">
        <v>11</v>
      </c>
      <c r="E12">
        <v>2</v>
      </c>
      <c r="F12">
        <v>0</v>
      </c>
      <c r="G12">
        <v>20</v>
      </c>
    </row>
    <row r="13" spans="1:7">
      <c r="A13" t="s">
        <v>130</v>
      </c>
      <c r="B13">
        <v>5</v>
      </c>
      <c r="C13">
        <v>9</v>
      </c>
      <c r="D13">
        <v>2</v>
      </c>
      <c r="E13">
        <v>4</v>
      </c>
      <c r="F13">
        <v>0</v>
      </c>
      <c r="G13">
        <v>20</v>
      </c>
    </row>
    <row r="14" spans="1:7">
      <c r="A14" t="s">
        <v>131</v>
      </c>
      <c r="B14">
        <v>0</v>
      </c>
      <c r="C14">
        <v>9</v>
      </c>
      <c r="D14">
        <v>5</v>
      </c>
      <c r="E14">
        <v>6</v>
      </c>
      <c r="F14">
        <v>0</v>
      </c>
      <c r="G14">
        <v>20</v>
      </c>
    </row>
    <row r="15" spans="1:7">
      <c r="A15" t="s">
        <v>132</v>
      </c>
      <c r="B15">
        <v>0</v>
      </c>
      <c r="C15">
        <v>0</v>
      </c>
      <c r="D15">
        <v>0</v>
      </c>
      <c r="E15">
        <v>9</v>
      </c>
      <c r="F15">
        <v>11</v>
      </c>
      <c r="G15">
        <v>20</v>
      </c>
    </row>
    <row r="16" spans="1:7">
      <c r="A16" t="s">
        <v>133</v>
      </c>
      <c r="B16">
        <v>0</v>
      </c>
      <c r="C16">
        <v>0</v>
      </c>
      <c r="D16">
        <v>3</v>
      </c>
      <c r="E16">
        <v>7</v>
      </c>
      <c r="F16">
        <v>10</v>
      </c>
      <c r="G16">
        <v>20</v>
      </c>
    </row>
    <row r="17" spans="1:7">
      <c r="A17" t="s">
        <v>134</v>
      </c>
      <c r="B17">
        <v>0</v>
      </c>
      <c r="C17">
        <v>3</v>
      </c>
      <c r="D17">
        <v>7</v>
      </c>
      <c r="E17">
        <v>7</v>
      </c>
      <c r="F17">
        <v>3</v>
      </c>
      <c r="G17">
        <v>20</v>
      </c>
    </row>
    <row r="18" spans="1:7">
      <c r="A18" t="s">
        <v>135</v>
      </c>
      <c r="B18">
        <v>0</v>
      </c>
      <c r="C18">
        <v>0</v>
      </c>
      <c r="D18">
        <v>7</v>
      </c>
      <c r="E18">
        <v>4</v>
      </c>
      <c r="F18">
        <v>9</v>
      </c>
      <c r="G18">
        <v>20</v>
      </c>
    </row>
    <row r="19" spans="1:7">
      <c r="A19" t="s">
        <v>136</v>
      </c>
      <c r="B19">
        <v>16</v>
      </c>
      <c r="C19">
        <v>4</v>
      </c>
      <c r="D19">
        <v>0</v>
      </c>
      <c r="E19">
        <v>0</v>
      </c>
      <c r="F19">
        <v>0</v>
      </c>
      <c r="G19">
        <v>20</v>
      </c>
    </row>
    <row r="20" spans="1:7">
      <c r="A20" t="s">
        <v>137</v>
      </c>
      <c r="B20">
        <v>0</v>
      </c>
      <c r="C20">
        <v>0</v>
      </c>
      <c r="D20">
        <v>0</v>
      </c>
      <c r="E20">
        <v>10</v>
      </c>
      <c r="F20">
        <v>10</v>
      </c>
      <c r="G20">
        <v>20</v>
      </c>
    </row>
  </sheetData>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最后反馈问卷（多）</vt:lpstr>
      <vt:lpstr>最后反馈问卷（多选）</vt:lpstr>
      <vt:lpstr>最后反馈问卷（量表）</vt:lpstr>
      <vt:lpstr>Sheet1</vt:lpstr>
      <vt:lpstr>总表单</vt:lpstr>
      <vt:lpstr>美术统计</vt:lpstr>
      <vt:lpstr>反馈绘图（多选）</vt:lpstr>
      <vt:lpstr>反馈绘图（量表）</vt:lpstr>
      <vt:lpstr>心理统计</vt:lpstr>
      <vt:lpstr>Sheet4</vt:lpstr>
      <vt:lpstr>Sheet5</vt:lpstr>
      <vt:lpstr>Sheet6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归来</cp:lastModifiedBy>
  <dcterms:created xsi:type="dcterms:W3CDTF">2026-03-21T10:57:00Z</dcterms:created>
  <dcterms:modified xsi:type="dcterms:W3CDTF">2026-03-28T11:45:43Z</dcterms:modified>
  <dc:description>﻿﻿﻿﻿​﻿⁢﻿﻿﻿﻿﻿﻿﻿﻿﻿﻿﻿﻿﻿⁠⁢‍﻿⁠⁢﻿⁠</dc:descript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1D0AC5CA4C45486B85CD08E3BE09812F_12</vt:lpwstr>
  </property>
  <property fmtid="{D5CDD505-2E9C-101B-9397-08002B2CF9AE}" pid="3" name="KSOProductBuildVer">
    <vt:lpwstr>2052-12.1.0.25225</vt:lpwstr>
  </property>
  <property fmtid="{D5CDD505-2E9C-101B-9397-08002B2CF9AE}" pid="4" name="CalculationRule">
    <vt:i4>0</vt:i4>
  </property>
</Properties>
</file>